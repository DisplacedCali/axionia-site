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2.xml" ContentType="application/vnd.openxmlformats-officedocument.spreadsheetml.comments+xml"/>
  <Override PartName="/xl/comments11.xml" ContentType="application/vnd.openxmlformats-officedocument.spreadsheetml.comments+xml"/>
  <Override PartName="/xl/comments6.xml" ContentType="application/vnd.openxmlformats-officedocument.spreadsheetml.comments+xml"/>
  <Override PartName="/xl/styles.xml" ContentType="application/vnd.openxmlformats-officedocument.spreadsheetml.styles+xml"/>
  <Override PartName="/xl/comments16.xml" ContentType="application/vnd.openxmlformats-officedocument.spreadsheetml.comments+xml"/>
  <Override PartName="/xl/comments14.xml" ContentType="application/vnd.openxmlformats-officedocument.spreadsheetml.comments+xml"/>
  <Override PartName="/xl/comments17.xml" ContentType="application/vnd.openxmlformats-officedocument.spreadsheetml.comments+xml"/>
  <Override PartName="/xl/comments7.xml" ContentType="application/vnd.openxmlformats-officedocument.spreadsheetml.comments+xml"/>
  <Override PartName="/xl/theme/theme1.xml" ContentType="application/vnd.openxmlformats-officedocument.theme+xml"/>
  <Override PartName="/xl/comments5.xml" ContentType="application/vnd.openxmlformats-officedocument.spreadsheetml.comments+xml"/>
  <Override PartName="/xl/comments15.xml" ContentType="application/vnd.openxmlformats-officedocument.spreadsheetml.comments+xml"/>
  <Override PartName="/xl/comments3.xml" ContentType="application/vnd.openxmlformats-officedocument.spreadsheetml.comments+xml"/>
  <Override PartName="/xl/comments13.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3.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ntrol" sheetId="1" state="visible" r:id="rId3"/>
    <sheet name="Summary" sheetId="2" state="visible" r:id="rId4"/>
    <sheet name="Use of Funds" sheetId="3" state="visible" r:id="rId5"/>
    <sheet name="Valuation" sheetId="4" state="visible" r:id="rId6"/>
    <sheet name="Cap Table" sheetId="5" state="visible" r:id="rId7"/>
    <sheet name="Exit &amp; Return on Capital" sheetId="6" state="visible" r:id="rId8"/>
    <sheet name="P&amp;L" sheetId="7" state="visible" r:id="rId9"/>
    <sheet name="Cash Flow" sheetId="8" state="visible" r:id="rId10"/>
    <sheet name="Balance Sheet" sheetId="9" state="visible" r:id="rId11"/>
    <sheet name="Scenarios" sheetId="10" state="visible" r:id="rId12"/>
    <sheet name="Revenue Build - Pressure Test" sheetId="11" state="visible" r:id="rId13"/>
    <sheet name="Staffing Plan" sheetId="12" state="visible" r:id="rId14"/>
    <sheet name="S&amp;M Build" sheetId="13" state="visible" r:id="rId15"/>
    <sheet name="Product &amp; Data Eng Build" sheetId="14" state="visible" r:id="rId16"/>
    <sheet name="G&amp;A &amp; Exec Comp Build" sheetId="15" state="visible" r:id="rId17"/>
    <sheet name="COGS &amp; Overhead Build" sheetId="16" state="visible" r:id="rId18"/>
    <sheet name="WC &amp; Capex" sheetId="17" state="visible" r:id="rId19"/>
  </sheets>
  <calcPr calcId="0" fullCalcOnLoad="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44" authorId="0">
      <text>
        <r>
          <rPr>
            <sz val="10"/>
            <rFont val="Arial"/>
            <family val="2"/>
          </rPr>
          <t xml:space="preserve">Reads from the Control toggle, so set the toggle to Base to see the position reached WITHOUT any Series B — that is the relevant number for judging whether Series B is optional. Revenue above is hard-wired to Base for that reason.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-117</xdr:colOff>
                <xdr:row>7</xdr:row>
                <xdr:rowOff>7</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6" authorId="0">
      <text>
        <r>
          <rPr>
            <sz val="10"/>
            <rFont val="Arial"/>
            <family val="2"/>
          </rPr>
          <t xml:space="preserve">Pricing is illustrative. The relative-dilution comparison across Bear/Base/Bull is the point — refine with real terms once a round is live.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5</xdr:row>
                <xdr:rowOff>8</xdr:rowOff>
              </xdr:to>
            </anchor>
          </commentPr>
        </mc:Choice>
        <mc:Fallback/>
      </mc:AlternateContent>
    </comment>
    <comment ref="C23" authorId="0">
      <text>
        <r>
          <rPr>
            <sz val="10"/>
            <rFont val="Arial"/>
            <family val="2"/>
          </rPr>
          <t xml:space="preserve">Standard mechanic: an equity pool created pre-money at the priced round comes out of the founder's existing stake, not the new investor's. Sized here at 4% as an illustrative starting point — adjust and the table below recalculates.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9</xdr:row>
                <xdr:rowOff>3</xdr:rowOff>
              </xdr:to>
            </anchor>
          </commentPr>
        </mc:Choice>
        <mc:Fallback/>
      </mc:AlternateContent>
    </comment>
    <comment ref="C33" authorId="0">
      <text>
        <r>
          <rPr>
            <sz val="10"/>
            <rFont val="Arial"/>
            <family val="2"/>
          </rPr>
          <t xml:space="preserve">10% is standard for a company making its first key hires. Enough for a Year 2-3 hiring plan without over-reserving. Increase toward 12-15% if the plan includes several senior executives.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6</xdr:row>
                <xdr:rowOff>18</xdr:rowOff>
              </xdr:to>
            </anchor>
          </commentPr>
        </mc:Choice>
        <mc:Fallback/>
      </mc:AlternateContent>
    </comment>
    <comment ref="C53" authorId="0">
      <text>
        <r>
          <rPr>
            <sz val="10"/>
            <rFont val="Arial"/>
            <family val="2"/>
          </rPr>
          <t xml:space="preserve">A true partner — someone taking founder-level risk, below-market cash, and owning a business line — is a co-founder-shaped grant, not an employee option grant. Bundling them into the option pool tends to either under-compensate them or exhaust the pool for everyone else. Modeled separately here. Set to 0 if no partner is brought on.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12</xdr:row>
                <xdr:rowOff>17</xdr:rowOff>
              </xdr:to>
            </anchor>
          </commentPr>
        </mc:Choice>
        <mc:Fallback/>
      </mc:AlternateContent>
    </comment>
    <comment ref="C62" authorId="0">
      <text>
        <r>
          <rPr>
            <sz val="10"/>
            <rFont val="Arial"/>
            <family val="2"/>
          </rPr>
          <t xml:space="preserve">This block is the single authoritative ownership source. The Exit &amp; Return on Capital tab reads from here, so changing the pool or partner % on this tab flows automatically to all proceeds, MOIC, and IRR figures.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8</xdr:row>
                <xdr:rowOff>8</xdr:rowOff>
              </xdr:to>
            </anchor>
          </commentPr>
        </mc:Choice>
        <mc:Fallback/>
      </mc:AlternateContent>
    </comment>
    <comment ref="D7" authorId="0">
      <text>
        <r>
          <rPr>
            <sz val="10"/>
            <rFont val="Arial"/>
            <family val="2"/>
          </rPr>
          <t xml:space="preserve">Series A reduced to $8M at the same $29M pre-money. Smaller raise at an unchanged valuation means materially less dilution — the direct benefit of right-sizing the round.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6</xdr:row>
                <xdr:rowOff>18</xdr:rowOff>
              </xdr:to>
            </anchor>
          </commentPr>
        </mc:Choice>
        <mc:Fallback/>
      </mc:AlternateContent>
    </comment>
    <comment ref="D8" authorId="0">
      <text>
        <r>
          <rPr>
            <sz val="10"/>
            <rFont val="Arial"/>
            <family val="2"/>
          </rPr>
          <t xml:space="preserve">Illustrative, not committed. The business does not need this capital to operate — it enters Year 5 with ~$11.7M cash and positive operating cash flow. Series B is modeled to show what an upside option (new product line or market, likely acquisition-shaped) could look like if one presents itself at Year 5-6. The actual size would be set by the specific opportunity, not decided in advance.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15</xdr:row>
                <xdr:rowOff>2</xdr:rowOff>
              </xdr:to>
            </anchor>
          </commentPr>
        </mc:Choice>
        <mc:Fallback/>
      </mc:AlternateContent>
    </comment>
    <comment ref="D37" authorId="0">
      <text>
        <r>
          <rPr>
            <sz val="10"/>
            <rFont val="Arial"/>
            <family val="2"/>
          </rPr>
          <t xml:space="preserve">In Bear there is no Series A at all, so a pool deferred to Series A never gets created — Tom retains 85.7% but has no equity currency to attract key hires. That is the genuine cost of deferring, and it does not show up as a dilution difference.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9</xdr:row>
                <xdr:rowOff>3</xdr:rowOff>
              </xdr:to>
            </anchor>
          </commentPr>
        </mc:Choice>
        <mc:Fallback/>
      </mc:AlternateContent>
    </comment>
    <comment ref="E7" authorId="0">
      <text>
        <r>
          <rPr>
            <sz val="10"/>
            <rFont val="Arial"/>
            <family val="2"/>
          </rPr>
          <t xml:space="preserve">Revised down from $40M to align with the revenue-multiple cross-check on the Valuation tab, which now implies $25-33M given the bottom-up-driven Year 3/Year 4 revenue. $29M is the midpoint. Series B ($130M pre-money) likely needs similar downward revision — not yet re-derived, flagged for follow-up.</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11</xdr:row>
                <xdr:rowOff>8</xdr:rowOff>
              </xdr:to>
            </anchor>
          </commentPr>
        </mc:Choice>
        <mc:Fallback/>
      </mc:AlternateContent>
    </comment>
    <comment ref="E8" authorId="0">
      <text>
        <r>
          <rPr>
            <sz val="10"/>
            <rFont val="Arial"/>
            <family val="2"/>
          </rPr>
          <t xml:space="preserve">Repriced. Old $130M pre-money implied ~18.7x Y5 EBIT at entry — above the 15x high-end EXIT multiple, which structurally guaranteed Series B would underperform regardless of execution. $90M pre-money is ~12.9x Y5 EBIT: still a premium to Series A, but below the exit ceiling so the round can actually clear its cost of capital. Raise increased to $30M per the 'if we find a materially accretive use of funds, take more and grow faster' thesis — the accretive deployment is modeled as the accelerated Bull engine ramp.</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20</xdr:row>
                <xdr:rowOff>7</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7" authorId="0">
      <text>
        <r>
          <rPr>
            <sz val="10"/>
            <rFont val="Arial"/>
            <family val="2"/>
          </rPr>
          <t xml:space="preserve">Pool and partner are real claims on exit value, shown here so each scenario's proceeds reconcile to 100% of enterprise value. No MOIC/IRR since neither contributes cash capital.</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7</xdr:row>
                <xdr:rowOff>13</xdr:rowOff>
              </xdr:to>
            </anchor>
          </commentPr>
        </mc:Choice>
        <mc:Fallback/>
      </mc:AlternateContent>
    </comment>
    <comment ref="C6" authorId="0">
      <text>
        <r>
          <rPr>
            <sz val="10"/>
            <rFont val="Arial"/>
            <family val="2"/>
          </rPr>
          <t xml:space="preserve">Low reflects real multiple contraction toward a services-like comp; high reflects the platform/data-authority framing from the earlier $50M-path work.</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6</xdr:row>
                <xdr:rowOff>3</xdr:rowOff>
              </xdr:to>
            </anchor>
          </commentPr>
        </mc:Choice>
        <mc:Fallback/>
      </mc:AlternateContent>
    </comment>
    <comment ref="C7" authorId="0">
      <text>
        <r>
          <rPr>
            <sz val="10"/>
            <rFont val="Arial"/>
            <family val="2"/>
          </rPr>
          <t xml:space="preserve">Low is a plain small-cap services multiple. High reflects a genuinely protectable, hard-to-replicate data/methodology asset — and the strategic premium a threatened distribution-channel buyer would plausibly pay to acquire and neutralize the threat rather than compete with it. A hot strategic bidding war could push higher; not baked into this range.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12</xdr:row>
                <xdr:rowOff>18</xdr:rowOff>
              </xdr:to>
            </anchor>
          </commentPr>
        </mc:Choice>
        <mc:Fallback/>
      </mc:AlternateContent>
    </comment>
    <comment ref="D35" authorId="0">
      <text>
        <r>
          <rPr>
            <sz val="10"/>
            <rFont val="Arial"/>
            <family val="2"/>
          </rPr>
          <t xml:space="preserve">Now reads from the authoritative post-pool/post-partner ownership block on the Cap Table (rows 58-66). Founder proceeds shown here are net of the option pool and partner grant — previously they were computed on pre-pool ownership and overstated the founder's actual outcome.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10</xdr:row>
                <xdr:rowOff>14</xdr:rowOff>
              </xdr:to>
            </anchor>
          </commentPr>
        </mc:Choice>
        <mc:Fallback/>
      </mc:AlternateContent>
    </comment>
    <comment ref="D57" authorId="0">
      <text>
        <r>
          <rPr>
            <sz val="10"/>
            <rFont val="Arial"/>
            <family val="2"/>
          </rPr>
          <t xml:space="preserve">Option pool was present in the EBIT-basis section above but missing from this revenue-basis section entirely. Added for all three scenarios so both bases show the same ownership picture.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16</xdr:colOff>
                <xdr:row>7</xdr:row>
                <xdr:rowOff>13</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0" authorId="0">
      <text>
        <r>
          <rPr>
            <sz val="10"/>
            <rFont val="Arial"/>
            <family val="2"/>
          </rPr>
          <t xml:space="preserve">Now pulled directly from the S&amp;M Build tab (headcount x rate + program spend), replacing the earlier flat-percentage allocation.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5</xdr:row>
                <xdr:rowOff>8</xdr:rowOff>
              </xdr:to>
            </anchor>
          </commentPr>
        </mc:Choice>
        <mc:Fallback/>
      </mc:AlternateContent>
    </comment>
    <comment ref="C11" authorId="0">
      <text>
        <r>
          <rPr>
            <sz val="10"/>
            <rFont val="Arial"/>
            <family val="2"/>
          </rPr>
          <t xml:space="preserve">Now pulled directly from the Product &amp; Data Eng Build tab, replacing the earlier flat-percentage allocation.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4</xdr:row>
                <xdr:rowOff>13</xdr:rowOff>
              </xdr:to>
            </anchor>
          </commentPr>
        </mc:Choice>
        <mc:Fallback/>
      </mc:AlternateContent>
    </comment>
    <comment ref="C12" authorId="0">
      <text>
        <r>
          <rPr>
            <sz val="10"/>
            <rFont val="Arial"/>
            <family val="2"/>
          </rPr>
          <t xml:space="preserve">Now pulled directly from the G&amp;A &amp; Exec Comp Build tab — Founder/CEO and CFO pay shown on their own lines there for transparency.</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5</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6" authorId="0">
      <text>
        <r>
          <rPr>
            <sz val="10"/>
            <rFont val="Arial"/>
            <family val="2"/>
          </rPr>
          <t xml:space="preserve">Bear's revenue is now driven entirely by the bottom-up, capacity-constrained build on the Revenue Build - Pressure Test tab — no longer an asserted figure. Change the rep quota, retention, or capacity assumptions there and this updates automatically.</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9</xdr:row>
                <xdr:rowOff>3</xdr:rowOff>
              </xdr:to>
            </anchor>
          </commentPr>
        </mc:Choice>
        <mc:Fallback/>
      </mc:AlternateContent>
    </comment>
    <comment ref="C7" authorId="0">
      <text>
        <r>
          <rPr>
            <sz val="10"/>
            <rFont val="Arial"/>
            <family val="2"/>
          </rPr>
          <t xml:space="preserve">Base revenue now driven by the full bottom-up build: Direct + Channel + Data/Ratings + Expansion + Data Store, at the revised 15/year rep quota. Lands within ~4% of the prior asserted figure by Year 7 — the bottom-up build essentially validates Base.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10</xdr:row>
                <xdr:rowOff>13</xdr:rowOff>
              </xdr:to>
            </anchor>
          </commentPr>
        </mc:Choice>
        <mc:Fallback/>
      </mc:AlternateContent>
    </comment>
    <comment ref="C8" authorId="0">
      <text>
        <r>
          <rPr>
            <sz val="10"/>
            <rFont val="Arial"/>
            <family val="2"/>
          </rPr>
          <t xml:space="preserve">Bull revenue now driven by the same full bottom-up build. Still runs ~20% below the prior asserted figure by Year 7 — Bull remains a genuine stretch case even with every engine counted.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6</xdr:row>
                <xdr:rowOff>18</xdr:rowOff>
              </xdr:to>
            </anchor>
          </commentPr>
        </mc:Choice>
        <mc:Fallback/>
      </mc:AlternateContent>
    </comment>
    <comment ref="C16" authorId="0">
      <text>
        <r>
          <rPr>
            <sz val="10"/>
            <rFont val="Arial"/>
            <family val="2"/>
          </rPr>
          <t xml:space="preserve">Superseded. Original flat top-down estimate, kept for audit trail only. The P&amp;L now pulls operating expense from the S&amp;M Build, Product &amp; Data Eng Build, and G&amp;A &amp; Exec Comp Build tabs.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6</xdr:row>
                <xdr:rowOff>18</xdr:rowOff>
              </xdr:to>
            </anchor>
          </commentPr>
        </mc:Choice>
        <mc:Fallback/>
      </mc:AlternateContent>
    </comment>
    <comment ref="C21" authorId="0">
      <text>
        <r>
          <rPr>
            <sz val="10"/>
            <rFont val="Arial"/>
            <family val="2"/>
          </rPr>
          <t xml:space="preserve">$1M raised at the start of Year 1 — common to all scenarios. Bear takes no further capital and compounds from cash flow. Base takes a ~$15M Series A at the Year-4 milestone. Bull adds a ~$20M Series B at Year 5 to fund the deeper trough of the bigger bet.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9</xdr:row>
                <xdr:rowOff>3</xdr:rowOff>
              </xdr:to>
            </anchor>
          </commentPr>
        </mc:Choice>
        <mc:Fallback/>
      </mc:AlternateContent>
    </comment>
    <comment ref="F22" authorId="0">
      <text>
        <r>
          <rPr>
            <sz val="10"/>
            <rFont val="Arial"/>
            <family val="2"/>
          </rPr>
          <t xml:space="preserve">Reduced from $15M to $8M. The larger raise left capital permanently undrawn — the business turns cash-positive in Year 2 and funds most of its own growth. $8M is sized to the actual pre-revenue investment window, with buffer, and is paired with accelerated deployment (below) so the capital is consumed rather than parked.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12</xdr:row>
                <xdr:rowOff>17</xdr:rowOff>
              </xdr:to>
            </anchor>
          </commentPr>
        </mc:Choice>
        <mc:Fallback/>
      </mc:AlternateContent>
    </comment>
    <comment ref="G23" authorId="0">
      <text>
        <r>
          <rPr>
            <sz val="10"/>
            <rFont val="Arial"/>
            <family val="2"/>
          </rPr>
          <t xml:space="preserve">Illustrative Series B. Bull is framed as an upside OPTION available at Year 5-6 if a new product line or market opportunity appears — not a planned raise. The business is cash-generative and does not require it.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8</xdr:row>
                <xdr:rowOff>8</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2" authorId="0">
      <text>
        <r>
          <rPr>
            <sz val="10"/>
            <rFont val="Arial"/>
            <family val="2"/>
          </rPr>
          <t xml:space="preserve">Average start mid-to-late February for this cohort — roughly 10 of 12 months active before year-end.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3</xdr:row>
                <xdr:rowOff>18</xdr:rowOff>
              </xdr:to>
            </anchor>
          </commentPr>
        </mc:Choice>
        <mc:Fallback/>
      </mc:AlternateContent>
    </comment>
    <comment ref="C13" authorId="0">
      <text>
        <r>
          <rPr>
            <sz val="10"/>
            <rFont val="Arial"/>
            <family val="2"/>
          </rPr>
          <t xml:space="preserve">Average start early-to-mid August — roughly 5 of 12 months active before year-end.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3</xdr:row>
                <xdr:rowOff>15</xdr:rowOff>
              </xdr:to>
            </anchor>
          </commentPr>
        </mc:Choice>
        <mc:Fallback/>
      </mc:AlternateContent>
    </comment>
    <comment ref="C22" authorId="0">
      <text>
        <r>
          <rPr>
            <sz val="10"/>
            <rFont val="Arial"/>
            <family val="2"/>
          </rPr>
          <t xml:space="preserve">10% annual attrition from Year 4 — this is what the Customer Success hire (Staffing Plan) is meant to protect.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4</xdr:row>
                <xdr:rowOff>13</xdr:rowOff>
              </xdr:to>
            </anchor>
          </commentPr>
        </mc:Choice>
        <mc:Fallback/>
      </mc:AlternateContent>
    </comment>
    <comment ref="C25" authorId="0">
      <text>
        <r>
          <rPr>
            <sz val="10"/>
            <rFont val="Arial"/>
            <family val="2"/>
          </rPr>
          <t xml:space="preserve">Declines as reps take over, but the founder stays active in the warmest/biggest relationships through Year 7.</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4</xdr:row>
                <xdr:rowOff>13</xdr:rowOff>
              </xdr:to>
            </anchor>
          </commentPr>
        </mc:Choice>
        <mc:Fallback/>
      </mc:AlternateContent>
    </comment>
    <comment ref="C67" authorId="0">
      <text>
        <r>
          <rPr>
            <sz val="10"/>
            <rFont val="Arial"/>
            <family val="2"/>
          </rPr>
          <t xml:space="preserve">One partner relationship reaches their whole book — the reach multiplier from the earlier four-engine work. Grounded in that prior build, not re-derived here.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6</xdr:row>
                <xdr:rowOff>18</xdr:rowOff>
              </xdr:to>
            </anchor>
          </commentPr>
        </mc:Choice>
        <mc:Fallback/>
      </mc:AlternateContent>
    </comment>
    <comment ref="C72" authorId="0">
      <text>
        <r>
          <rPr>
            <sz val="10"/>
            <rFont val="Arial"/>
            <family val="2"/>
          </rPr>
          <t xml:space="preserve">The single Year-3 customer here IS the milestone itself — a third party paying for the benchmark data. Everything downstream (Series A, the whole Base/Bull path) depends on this one row.</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7</xdr:row>
                <xdr:rowOff>13</xdr:rowOff>
              </xdr:to>
            </anchor>
          </commentPr>
        </mc:Choice>
        <mc:Fallback/>
      </mc:AlternateContent>
    </comment>
    <comment ref="C124" authorId="0">
      <text>
        <r>
          <rPr>
            <sz val="10"/>
            <rFont val="Arial"/>
            <family val="2"/>
          </rPr>
          <t xml:space="preserve">Self-serve tier pricing, well below the ~$140K bespoke enterprise data/ratings relationship — the point is reach, not per-unit price.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5</xdr:row>
                <xdr:rowOff>8</xdr:rowOff>
              </xdr:to>
            </anchor>
          </commentPr>
        </mc:Choice>
        <mc:Fallback/>
      </mc:AlternateContent>
    </comment>
    <comment ref="C125" authorId="0">
      <text>
        <r>
          <rPr>
            <sz val="10"/>
            <rFont val="Arial"/>
            <family val="2"/>
          </rPr>
          <t xml:space="preserve">Lower than the 90% core retention — self-serve products have lower switching costs and less relationship lock-in than an enterprise engagement.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6</xdr:row>
                <xdr:rowOff>3</xdr:rowOff>
              </xdr:to>
            </anchor>
          </commentPr>
        </mc:Choice>
        <mc:Fallback/>
      </mc:AlternateContent>
    </comment>
    <comment ref="F80" authorId="0">
      <text>
        <r>
          <rPr>
            <sz val="10"/>
            <rFont val="Arial"/>
            <family val="2"/>
          </rPr>
          <t xml:space="preserve">Renewal analysis, vendor RFP evaluation, M&amp;A benefit due diligence — scoped project fees on top of the subscription. Zero in Years 1-3 (clients too new to have a renewal/RFP moment yet); ramps from Year 4.</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9</xdr:row>
                <xdr:rowOff>3</xdr:rowOff>
              </xdr:to>
            </anchor>
          </commentPr>
        </mc:Choice>
        <mc:Fallback/>
      </mc:AlternateContent>
    </comment>
    <comment ref="G65" authorId="0">
      <text>
        <r>
          <rPr>
            <sz val="10"/>
            <rFont val="Arial"/>
            <family val="2"/>
          </rPr>
          <t xml:space="preserve">Accelerated from Y5 with Series B proceeds — the 'materially accretive use of funds' that justifies the larger round and added dilution.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6</xdr:row>
                <xdr:rowOff>3</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2" authorId="0">
      <text>
        <r>
          <rPr>
            <sz val="10"/>
            <rFont val="Arial"/>
            <family val="2"/>
          </rPr>
          <t xml:space="preserve">Was missing entirely — delivery analysts were added to COGS after this tab was built, so total headcount here understated the real team by a growing margin (6 people at Y3, 46 at Y7 in Base).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6</xdr:row>
                <xdr:rowOff>18</xdr:rowOff>
              </xdr:to>
            </anchor>
          </commentPr>
        </mc:Choice>
        <mc:Fallback/>
      </mc:AlternateContent>
    </comment>
    <comment ref="C18" authorId="0">
      <text>
        <r>
          <rPr>
            <sz val="10"/>
            <rFont val="Arial"/>
            <family val="2"/>
          </rPr>
          <t xml:space="preserve">Repointed to the COGS tab, which is now the live source after CS was reclassified from S&amp;M to COGS.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4</xdr:row>
                <xdr:rowOff>13</xdr:rowOff>
              </xdr:to>
            </anchor>
          </commentPr>
        </mc:Choice>
        <mc:Fallback/>
      </mc:AlternateContent>
    </comment>
    <comment ref="C23" authorId="0">
      <text>
        <r>
          <rPr>
            <sz val="10"/>
            <rFont val="Arial"/>
            <family val="2"/>
          </rPr>
          <t xml:space="preserve">Was missing from this tab — the headcount building Channel/Data Store revenue. Added after this tab was originally built.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4</xdr:row>
                <xdr:rowOff>13</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5" authorId="0">
      <text>
        <r>
          <rPr>
            <sz val="10"/>
            <rFont val="Arial"/>
            <family val="2"/>
          </rPr>
          <t xml:space="preserve">Loaded comp = base + bonus/commission + payroll burden + benefits, consistent with the channel-BD-led, content-driven GTM motion (not paid ads or conference spend).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6</xdr:row>
                <xdr:rowOff>18</xdr:rowOff>
              </xdr:to>
            </anchor>
          </commentPr>
        </mc:Choice>
        <mc:Fallback/>
      </mc:AlternateContent>
    </comment>
    <comment ref="C33" authorId="0">
      <text>
        <r>
          <rPr>
            <sz val="10"/>
            <rFont val="Arial"/>
            <family val="2"/>
          </rPr>
          <t xml:space="preserve">Relocated to COGS. This team is a group of analysts who are effectively part of the product — their work scales with client count and constitutes delivery, not customer acquisition. Headcount and rate are retained here for reference but are no longer included in the S&amp;M total; the cost now flows through the COGS &amp; Overhead Build tab.</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12</xdr:row>
                <xdr:rowOff>2</xdr:rowOff>
              </xdr:to>
            </anchor>
          </commentPr>
        </mc:Choice>
        <mc:Fallback/>
      </mc:AlternateContent>
    </comment>
    <comment ref="D12" authorId="0">
      <text>
        <r>
          <rPr>
            <sz val="10"/>
            <rFont val="Arial"/>
            <family val="2"/>
          </rPr>
          <t xml:space="preserve">Second BD rep brought forward to Year 2, focused on early channel/partnership relationship-building — priming broker and health-plan conversations ahead of the milestone, so Year 3 channel activity isn't starting cold.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9</xdr:row>
                <xdr:rowOff>3</xdr:rowOff>
              </xdr:to>
            </anchor>
          </commentPr>
        </mc:Choice>
        <mc:Fallback/>
      </mc:AlternateContent>
    </comment>
    <comment ref="F19" authorId="0">
      <text>
        <r>
          <rPr>
            <sz val="10"/>
            <rFont val="Arial"/>
            <family val="2"/>
          </rPr>
          <t xml:space="preserve">Hiring pulled forward — this is the 'put it to work' half of right-sizing the round. A smaller raise only solves the idle-cash problem if the capital is actually deployed; shrinking the raise alone still left ~$40M accumulating by Year 7.</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-14</xdr:colOff>
                <xdr:row>9</xdr:row>
                <xdr:rowOff>3</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5" authorId="0">
      <text>
        <r>
          <rPr>
            <sz val="10"/>
            <rFont val="Arial"/>
            <family val="2"/>
          </rPr>
          <t xml:space="preserve">Data acquisition &amp; authority spend (below) is the Moody's-style moat line — external data licensing, actuarial/methodology validation, benchmark corpus assembly. Policy: expensed as incurred, not capitalized.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9</xdr:row>
                <xdr:rowOff>3</xdr:rowOff>
              </xdr:to>
            </anchor>
          </commentPr>
        </mc:Choice>
        <mc:Fallback/>
      </mc:AlternateContent>
    </comment>
    <comment ref="C12" authorId="0">
      <text>
        <r>
          <rPr>
            <sz val="10"/>
            <rFont val="Arial"/>
            <family val="2"/>
          </rPr>
          <t xml:space="preserve">Corrected — Year 1 was showing 1 engineer already hired, which contradicted Tom doing BD, sales, and engineering himself in Year 1. Whole ramp shifted back one year: first engineer hire now Year 2, matching the BD rep pattern that was already correct.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9</xdr:row>
                <xdr:rowOff>18</xdr:rowOff>
              </xdr:to>
            </anchor>
          </commentPr>
        </mc:Choice>
        <mc:Fallback/>
      </mc:AlternateContent>
    </comment>
    <comment ref="C14" authorId="0">
      <text>
        <r>
          <rPr>
            <sz val="10"/>
            <rFont val="Arial"/>
            <family val="2"/>
          </rPr>
          <t xml:space="preserve">Accelerated at Tom's direction — up from $0/$20K to $15K/$45K in Years 1-2, to build the benchmark database faster. Kept in Opex/R&amp;D, not COGS: this builds a durable asset that benefits every future client, not a cost of delivering any one client's report. Year 3 (still $85K, shared across scenarios) unchanged.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12</xdr:row>
                <xdr:rowOff>2</xdr:rowOff>
              </xdr:to>
            </anchor>
          </commentPr>
        </mc:Choice>
        <mc:Fallback/>
      </mc:AlternateContent>
    </comment>
    <comment ref="C30" authorId="0">
      <text>
        <r>
          <rPr>
            <sz val="10"/>
            <rFont val="Arial"/>
            <family val="2"/>
          </rPr>
          <t xml:space="preserve">Revenue from Channel, Data/Ratings, and Data Store had no dedicated headcount building it — it was riding on capacity already assigned to Direct sales and engineering. This line represents the people actually developing partnerships and building the self-serve product.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11</xdr:row>
                <xdr:rowOff>8</xdr:rowOff>
              </xdr:to>
            </anchor>
          </commentPr>
        </mc:Choice>
        <mc:Fallback/>
      </mc:AlternateContent>
    </comment>
    <comment ref="D12" authorId="0">
      <text>
        <r>
          <rPr>
            <sz val="10"/>
            <rFont val="Arial"/>
            <family val="2"/>
          </rPr>
          <t xml:space="preserve">Third engineer brought forward to Year 2 — covers both data-pipeline work and the channel-readiness engineering (partner-facing templates, basic integration groundwork) rather than a separate line item for the latter.</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8</xdr:row>
                <xdr:rowOff>8</xdr:rowOff>
              </xdr:to>
            </anchor>
          </commentPr>
        </mc:Choice>
        <mc:Fallback/>
      </mc:AlternateContent>
    </comment>
    <comment ref="D14" authorId="0">
      <text>
        <r>
          <rPr>
            <sz val="10"/>
            <rFont val="Arial"/>
            <family val="2"/>
          </rPr>
          <t xml:space="preserve">Year 2 'invest' allocation, largest single increase — licensing established benchmark/actuarial data and methodology validation work. This is the highest-leverage Year 2 spend: it directly de-risks the Year-3 milestone itself (a third party paying for the data), not just a general capability build.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11</xdr:row>
                <xdr:rowOff>8</xdr:rowOff>
              </xdr:to>
            </anchor>
          </commentPr>
        </mc:Choice>
        <mc:Fallback/>
      </mc:AlternateContent>
    </comment>
    <comment ref="F20" authorId="0">
      <text>
        <r>
          <rPr>
            <sz val="10"/>
            <rFont val="Arial"/>
            <family val="2"/>
          </rPr>
          <t xml:space="preserve">Data acquisition deepened in the years the capital is available — accelerating the benchmark asset build, which is the moat and the thing a strategic acquirer is ultimately buying.</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-29</xdr:colOff>
                <xdr:row>6</xdr:row>
                <xdr:rowOff>18</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6" authorId="0">
      <text>
        <r>
          <rPr>
            <sz val="10"/>
            <rFont val="Arial"/>
            <family val="2"/>
          </rPr>
          <t xml:space="preserve">Ramps to $300K by the Year-3 milestone, then capped flat through Year 7 — same schedule across all three scenarios. Salary is set by need, not tied to company performance; upside beyond this base flows to Tom through his equity stake (dividends/appreciation), which is why it's identical whether the company stays lean (Bear) or scales hard (Bull).</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12</xdr:row>
                <xdr:rowOff>32</xdr:rowOff>
              </xdr:to>
            </anchor>
          </commentPr>
        </mc:Choice>
        <mc:Fallback/>
      </mc:AlternateContent>
    </comment>
    <comment ref="C9" authorId="0">
      <text>
        <r>
          <rPr>
            <sz val="10"/>
            <rFont val="Arial"/>
            <family val="2"/>
          </rPr>
          <t xml:space="preserve">Tom's actual current total compensation at WIN, provided directly — a more concrete personal-opportunity-cost reference than the generic SVP Analytics market benchmark above.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6</xdr:row>
                <xdr:rowOff>18</xdr:rowOff>
              </xdr:to>
            </anchor>
          </commentPr>
        </mc:Choice>
        <mc:Fallback/>
      </mc:AlternateContent>
    </comment>
    <comment ref="C10" authorId="0">
      <text>
        <r>
          <rPr>
            <sz val="10"/>
            <rFont val="Arial"/>
            <family val="2"/>
          </rPr>
          <t xml:space="preserve">Tom's own estimate of market value reflecting his full experience profile — 20+ years healthcare analytics/health economics, Yale MBA, prior VP/SVP roles, risk products underwritten to $500M+ — broader than a title-matched SVP Analytics benchmark. Used for the sweat-equity calc below, shown as a range per house convention (never a single number).</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13</xdr:row>
                <xdr:rowOff>10</xdr:rowOff>
              </xdr:to>
            </anchor>
          </commentPr>
        </mc:Choice>
        <mc:Fallback/>
      </mc:AlternateContent>
    </comment>
    <comment ref="C15" authorId="0">
      <text>
        <r>
          <rPr>
            <sz val="10"/>
            <rFont val="Arial"/>
            <family val="2"/>
          </rPr>
          <t xml:space="preserve">2026 data shows hired-CFO cash comp typically running 13-25% above founder-CEO pay at the same stage, since founders accept a below-market discount that new executive hires don't. Timed to Year 5, after the Series A step-up.</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8</xdr:row>
                <xdr:rowOff>8</xdr:rowOff>
              </xdr:to>
            </anchor>
          </commentPr>
        </mc:Choice>
        <mc:Fallback/>
      </mc:AlternateContent>
    </comment>
    <comment ref="C19" authorId="0">
      <text>
        <r>
          <rPr>
            <sz val="10"/>
            <rFont val="Arial"/>
            <family val="2"/>
          </rPr>
          <t xml:space="preserve">Year 1-2 Other G&amp;A now pulled from the itemized bottom-up build, replacing the earlier flat $35K/$80K placeholder. Same total across all three scenarios, consistent with the shared Year 1-3 plan. Year 3 unchanged.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8</xdr:row>
                <xdr:rowOff>8</xdr:rowOff>
              </xdr:to>
            </anchor>
          </commentPr>
        </mc:Choice>
        <mc:Fallback/>
      </mc:AlternateContent>
    </comment>
    <comment ref="C29" authorId="0">
      <text>
        <r>
          <rPr>
            <sz val="10"/>
            <rFont val="Arial"/>
            <family val="2"/>
          </rPr>
          <t xml:space="preserve">Brought on early rather than waiting for Year 2 — directly supports the travel-heavy relationship-building cadence and keeps expense/planning off the founder's plate. Same cost across all three scenarios, consistent with the shared Year 1-3 plan.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9</xdr:row>
                <xdr:rowOff>18</xdr:rowOff>
              </xdr:to>
            </anchor>
          </commentPr>
        </mc:Choice>
        <mc:Fallback/>
      </mc:AlternateContent>
    </comment>
    <comment ref="E29" authorId="0">
      <text>
        <r>
          <rPr>
            <sz val="10"/>
            <rFont val="Arial"/>
            <family val="2"/>
          </rPr>
          <t xml:space="preserve">Extended forward — the Year 1/Year 2 EA build only populated those two columns, which silently dropped this cost to zero from Year 3 onward. Modest ~4-5%/year growth, consistent across all scenarios.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7</xdr:row>
                <xdr:rowOff>13</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7" authorId="0">
      <text>
        <r>
          <rPr>
            <sz val="10"/>
            <rFont val="Arial"/>
            <family val="2"/>
          </rPr>
          <t xml:space="preserve">Classified as COGS, not G&amp;A — the Research Agent is the delivery mechanism itself, not general office tooling. This is a judgment call worth confirming: if it's used more for general internal work than client delivery, it belongs in Other G&amp;A instead.</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9</xdr:row>
                <xdr:rowOff>18</xdr:rowOff>
              </xdr:to>
            </anchor>
          </commentPr>
        </mc:Choice>
        <mc:Fallback/>
      </mc:AlternateContent>
    </comment>
    <comment ref="C9" authorId="0">
      <text>
        <r>
          <rPr>
            <sz val="10"/>
            <rFont val="Arial"/>
            <family val="2"/>
          </rPr>
          <t xml:space="preserve">Per-active-client annual delivery cost from Y3: analyst time on report production/refresh, client-specific data acquisition, and platform/compute. Set so gross margin lands in the low-80s at scale — strong for a data/analytics business but not the implausible 95%+ a token cost would imply. Y1-2 remain itemized ($12k Claude Enterprise), since the founder delivers personally and that labor sits in G&amp;A, not COGS.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14</xdr:row>
                <xdr:rowOff>19</xdr:rowOff>
              </xdr:to>
            </anchor>
          </commentPr>
        </mc:Choice>
        <mc:Fallback/>
      </mc:AlternateContent>
    </comment>
    <comment ref="C16" authorId="0">
      <text>
        <r>
          <rPr>
            <sz val="10"/>
            <rFont val="Arial"/>
            <family val="2"/>
          </rPr>
          <t xml:space="preserve">Employer-side FICA (SS capped + uncapped Medicare), MN unemployment insurance, workers' comp on the $250K/$275K founder salary. Real, mandatory, and easy to forget.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7</xdr:row>
                <xdr:rowOff>13</xdr:rowOff>
              </xdr:to>
            </anchor>
          </commentPr>
        </mc:Choice>
        <mc:Fallback/>
      </mc:AlternateContent>
    </comment>
    <comment ref="C17" authorId="0">
      <text>
        <r>
          <rPr>
            <sz val="10"/>
            <rFont val="Arial"/>
            <family val="2"/>
          </rPr>
          <t xml:space="preserve">Zeroed at Tom's direction — not needed. Left visible rather than deleted so the line item and reasoning stay in the audit trail.</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5</xdr:row>
                <xdr:rowOff>8</xdr:rowOff>
              </xdr:to>
            </anchor>
          </commentPr>
        </mc:Choice>
        <mc:Fallback/>
      </mc:AlternateContent>
    </comment>
    <comment ref="C18" authorId="0">
      <text>
        <r>
          <rPr>
            <sz val="10"/>
            <rFont val="Arial"/>
            <family val="2"/>
          </rPr>
          <t xml:space="preserve">Standard once there's a cap table and outside investors.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3</xdr:row>
                <xdr:rowOff>15</xdr:rowOff>
              </xdr:to>
            </anchor>
          </commentPr>
        </mc:Choice>
        <mc:Fallback/>
      </mc:AlternateContent>
    </comment>
    <comment ref="C19" authorId="0">
      <text>
        <r>
          <rPr>
            <sz val="10"/>
            <rFont val="Arial"/>
            <family val="2"/>
          </rPr>
          <t xml:space="preserve">Higher in Year 1 given the active WIN IP/invention-assignment work.</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3</xdr:row>
                <xdr:rowOff>15</xdr:rowOff>
              </xdr:to>
            </anchor>
          </commentPr>
        </mc:Choice>
        <mc:Fallback/>
      </mc:AlternateContent>
    </comment>
    <comment ref="C21" authorId="0">
      <text>
        <r>
          <rPr>
            <sz val="10"/>
            <rFont val="Arial"/>
            <family val="2"/>
          </rPr>
          <t xml:space="preserve">Workspace/365, Supabase, Vercel, QuickBooks, misc SaaS.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3</xdr:row>
                <xdr:rowOff>15</xdr:rowOff>
              </xdr:to>
            </anchor>
          </commentPr>
        </mc:Choice>
        <mc:Fallback/>
      </mc:AlternateContent>
    </comment>
    <comment ref="C22" authorId="0">
      <text>
        <r>
          <rPr>
            <sz val="10"/>
            <rFont val="Arial"/>
            <family val="2"/>
          </rPr>
          <t xml:space="preserve">Registered agent, annual filings, franchise tax.</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3</xdr:row>
                <xdr:rowOff>15</xdr:rowOff>
              </xdr:to>
            </anchor>
          </commentPr>
        </mc:Choice>
        <mc:Fallback/>
      </mc:AlternateContent>
    </comment>
    <comment ref="C23" authorId="0">
      <text>
        <r>
          <rPr>
            <sz val="10"/>
            <rFont val="Arial"/>
            <family val="2"/>
          </rPr>
          <t xml:space="preserve">Discovery and relationship-building meetings.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3</xdr:row>
                <xdr:rowOff>15</xdr:rowOff>
              </xdr:to>
            </anchor>
          </commentPr>
        </mc:Choice>
        <mc:Fallback/>
      </mc:AlternateContent>
    </comment>
    <comment ref="C28" authorId="0">
      <text>
        <r>
          <rPr>
            <sz val="10"/>
            <rFont val="Arial"/>
            <family val="2"/>
          </rPr>
          <t xml:space="preserve">Capitalized per the model's existing policy (equipment/infra is capitalized; product/eng labor is expensed as incurred) — flows through the 3-year straight-line depreciation schedule on WC &amp; Capex, not a direct P&amp;L hit. Year 2 figure is an estimate for the second hire's equipment.</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10</xdr:row>
                <xdr:rowOff>13</xdr:rowOff>
              </xdr:to>
            </anchor>
          </commentPr>
        </mc:Choice>
        <mc:Fallback/>
      </mc:AlternateContent>
    </comment>
    <comment ref="C33" authorId="0">
      <text>
        <r>
          <rPr>
            <sz val="10"/>
            <rFont val="Arial"/>
            <family val="2"/>
          </rPr>
          <t xml:space="preserve">Read as 3 trips/month x 12. If you meant 3-day-duration trips rather than 3 trips/month, the per-trip cost assumption would need to come up accordingly (add ~1-2 nights lodging) — flag it and I'll rebuild this block.</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8</xdr:row>
                <xdr:rowOff>8</xdr:rowOff>
              </xdr:to>
            </anchor>
          </commentPr>
        </mc:Choice>
        <mc:Fallback/>
      </mc:AlternateContent>
    </comment>
    <comment ref="C58" authorId="0">
      <text>
        <r>
          <rPr>
            <sz val="10"/>
            <rFont val="Arial"/>
            <family val="2"/>
          </rPr>
          <t xml:space="preserve">Analyst-level healthcare/benefits data role, loaded (salary + burden + benefits). Below engineering comp, above support roles.</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5</xdr:row>
                <xdr:rowOff>8</xdr:rowOff>
              </xdr:to>
            </anchor>
          </commentPr>
        </mc:Choice>
        <mc:Fallback/>
      </mc:AlternateContent>
    </comment>
    <comment ref="C60" authorId="0">
      <text>
        <r>
          <rPr>
            <sz val="10"/>
            <rFont val="Arial"/>
            <family val="2"/>
          </rPr>
          <t xml:space="preserve">Now driven by active client count and the coverage ratio above, consistent with delivery analysts. Relocated from S&amp;M: this team is a group of analysts who are effectively part of the product — their work scales with client count and constitutes delivery, not customer acquisition.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10</xdr:row>
                <xdr:rowOff>13</xdr:rowOff>
              </xdr:to>
            </anchor>
          </commentPr>
        </mc:Choice>
        <mc:Fallback/>
      </mc:AlternateContent>
    </comment>
    <comment ref="C61" authorId="0">
      <text>
        <r>
          <rPr>
            <sz val="10"/>
            <rFont val="Arial"/>
            <family val="2"/>
          </rPr>
          <t xml:space="preserve">Claude Enterprise (delivery mechanism) + delivery analyst salary (from Y3) + CS analyst salary + analyst bonus pool. Years 1-2 carry no delivery analyst salary because the founder delivers personally — see the classification note.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9</xdr:row>
                <xdr:rowOff>3</xdr:rowOff>
              </xdr:to>
            </anchor>
          </commentPr>
        </mc:Choice>
        <mc:Fallback/>
      </mc:AlternateContent>
    </comment>
    <comment ref="C70" authorId="0">
      <text>
        <r>
          <rPr>
            <sz val="10"/>
            <rFont val="Arial"/>
            <family val="2"/>
          </rPr>
          <t xml:space="preserve">Target payout at full achievement. Actual range would run roughly 0-30% by individual performance — meaningful enough that top performers materially out-earn peers, which is what makes up-or-out work.</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7</xdr:row>
                <xdr:rowOff>13</xdr:rowOff>
              </xdr:to>
            </anchor>
          </commentPr>
        </mc:Choice>
        <mc:Fallback/>
      </mc:AlternateContent>
    </comment>
    <comment ref="D49" authorId="0">
      <text>
        <r>
          <rPr>
            <sz val="10"/>
            <rFont val="Arial"/>
            <family val="2"/>
          </rPr>
          <t xml:space="preserve">CS analysts carry relationship coverage rather than per-report production, so each covers more clients than a delivery analyst. Rising 60 -&gt; 100 as tooling and playbooks mature. Previously CS was hard-coded flat at 1-2 people across all scenarios, which did not hold once Base reaches ~900 clients and Bull exceeds 1,400.</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11</xdr:row>
                <xdr:rowOff>4</xdr:rowOff>
              </xdr:to>
            </anchor>
          </commentPr>
        </mc:Choice>
        <mc:Fallback/>
      </mc:AlternateContent>
    </comment>
    <comment ref="E56" authorId="0">
      <text>
        <r>
          <rPr>
            <sz val="10"/>
            <rFont val="Arial"/>
            <family val="2"/>
          </rPr>
          <t xml:space="preserve">Core operating-leverage assumption: clients per delivery analyst rises 12 -&gt; 20 across Y3-Y7 as the Research Agent absorbs more production work. Deliberately conservative — each engagement involves genuine review, contextualization, and client interaction, not a fully automated report. An earlier 30-&gt;50 assumption produced 90%+ gross margins, which would not survive diligence. Years 1-2 are set high because the founder delivers personally.</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-103</xdr:colOff>
                <xdr:row>15</xdr:row>
                <xdr:rowOff>14</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5" authorId="0">
      <text>
        <r>
          <rPr>
            <sz val="10"/>
            <rFont val="Arial"/>
            <family val="2"/>
          </rPr>
          <t xml:space="preserve">Blended DSO. Majority of revenue (direct + enterprise subscription) bills monthly in advance; channel and data/ratings fees run net-30/45. 25 days blends the mix.</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6</xdr:row>
                <xdr:rowOff>18</xdr:rowOff>
              </xdr:to>
            </anchor>
          </commentPr>
        </mc:Choice>
        <mc:Fallback/>
      </mc:AlternateContent>
    </comment>
    <comment ref="C6" authorId="0">
      <text>
        <r>
          <rPr>
            <sz val="10"/>
            <rFont val="Arial"/>
            <family val="2"/>
          </rPr>
          <t xml:space="preserve">Reflects prepaid subscription and annual-advance channel licenses — a cash-positive working capital feature of the model.</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5</xdr:row>
                <xdr:rowOff>8</xdr:rowOff>
              </xdr:to>
            </anchor>
          </commentPr>
        </mc:Choice>
        <mc:Fallback/>
      </mc:AlternateContent>
    </comment>
    <comment ref="C8" authorId="0">
      <text>
        <r>
          <rPr>
            <sz val="10"/>
            <rFont val="Arial"/>
            <family val="2"/>
          </rPr>
          <t xml:space="preserve">Minor equipment/infrastructure only. Product, data engineering, and data-acquisition spend are expensed as incurred, not capitalized — see policy note on P&amp;L tab.</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6</xdr:row>
                <xdr:rowOff>18</xdr:rowOff>
              </xdr:to>
            </anchor>
          </commentPr>
        </mc:Choice>
        <mc:Fallback/>
      </mc:AlternateContent>
    </comment>
    <comment ref="C11" authorId="0">
      <text>
        <r>
          <rPr>
            <sz val="10"/>
            <rFont val="Arial"/>
            <family val="2"/>
          </rPr>
          <t xml:space="preserve">Blended federal+state estimate. NOL carryforward offsets pre-tax income first; tax applies only above the available NOL balance. Simplification: the TCJA 80%-of-taxable-income NOL usage limit is not modeled — a refinement worth adding once the company is solidly profitable.</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11</xdr:row>
                <xdr:rowOff>8</xdr:rowOff>
              </xdr:to>
            </anchor>
          </commentPr>
        </mc:Choice>
        <mc:Fallback/>
      </mc:AlternateContent>
    </comment>
    <comment ref="C16" authorId="0">
      <text>
        <r>
          <rPr>
            <sz val="10"/>
            <rFont val="Arial"/>
            <family val="2"/>
          </rPr>
          <t xml:space="preserve">COGS now pulls from the explicit build on the COGS &amp; Overhead tab: Claude Enterprise (the delivery mechanism) plus delivery analyst headcount from Year 3. Replaces the earlier per-client dollar allowance, which had no headcount behind it. Margin now improves because analysts serve more clients over time — real operating leverage, not an unexplained assumption.</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15</xdr:row>
                <xdr:rowOff>2</xdr:rowOff>
              </xdr:to>
            </anchor>
          </commentPr>
        </mc:Choice>
        <mc:Fallback/>
      </mc:AlternateContent>
    </comment>
    <comment ref="C17" authorId="0">
      <text>
        <r>
          <rPr>
            <sz val="10"/>
            <rFont val="Arial"/>
            <family val="2"/>
          </rPr>
          <t xml:space="preserve">Sum of the three bottom-up build tabs (S&amp;M, Product &amp; Data Eng, G&amp;A &amp; Exec Comp). Supersedes the prior flat top-down estimate on the Scenarios tab.</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6</xdr:row>
                <xdr:rowOff>3</xdr:rowOff>
              </xdr:to>
            </anchor>
          </commentPr>
        </mc:Choice>
        <mc:Fallback/>
      </mc:AlternateContent>
    </comment>
    <comment ref="C26" authorId="0">
      <text>
        <r>
          <rPr>
            <sz val="10"/>
            <rFont val="Arial"/>
            <family val="2"/>
          </rPr>
          <t xml:space="preserve">Year 1-2 capex now pulled from the itemized equipment build (real computer purchases), not the 1.5%-of-revenue formula. Year 3 onward still uses the formula.</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6</xdr:row>
                <xdr:rowOff>18</xdr:rowOff>
              </xdr:to>
            </anchor>
          </commentPr>
        </mc:Choice>
        <mc:Fallback/>
      </mc:AlternateContent>
    </comment>
    <comment ref="E16" authorId="0">
      <text>
        <r>
          <rPr>
            <sz val="10"/>
            <rFont val="Arial"/>
            <family val="2"/>
          </rPr>
          <t xml:space="preserve">Y3+ COGS now = fixed platform cost + (active Direct clients x per-client delivery cost), consistent with the itemized Y1-2 build. Previously reverted to the Scenarios margin assumption, which caused a sharp gross-margin discontinuity.</t>
        </r>
      </text>
      <mc:AlternateContent>
        <mc:Choice Requires="v2">
          <commentPr autoFill="true" autoScale="false" colHidden="false" locked="false" rowHidden="false" textHAlign="justify" textVAlign="top">
            <anchor moveWithCells="false" sizeWithCells="false">
              <xdr:from>
                <xdr:col>1</xdr:col>
                <xdr:colOff>64</xdr:colOff>
                <xdr:row>0</xdr:row>
                <xdr:rowOff>2</xdr:rowOff>
              </xdr:from>
              <xdr:to>
                <xdr:col>2</xdr:col>
                <xdr:colOff>-43</xdr:colOff>
                <xdr:row>9</xdr:row>
                <xdr:rowOff>3</xdr:rowOff>
              </xdr:to>
            </anchor>
          </commentPr>
        </mc:Choice>
        <mc:Fallback/>
      </mc:AlternateContent>
    </comment>
  </commentList>
</comments>
</file>

<file path=xl/sharedStrings.xml><?xml version="1.0" encoding="utf-8"?>
<sst xmlns="http://schemas.openxmlformats.org/spreadsheetml/2006/main" count="906" uniqueCount="621">
  <si>
    <t xml:space="preserve">AXIONIA — Three-Statement Operating Model</t>
  </si>
  <si>
    <t xml:space="preserve">$1M raised now funds a disciplined build to a Year-3 milestone. Flip the scenario toggle — every statement recalculates.</t>
  </si>
  <si>
    <t xml:space="preserve">TOGGLE</t>
  </si>
  <si>
    <t xml:space="preserve">Scenario</t>
  </si>
  <si>
    <t xml:space="preserve">Base</t>
  </si>
  <si>
    <t xml:space="preserve">active index</t>
  </si>
  <si>
    <t xml:space="preserve">WHAT EACH SCENARIO MEANS</t>
  </si>
  <si>
    <t xml:space="preserve">Bear</t>
  </si>
  <si>
    <t xml:space="preserve">Year-3 milestone comes in soft — no third-party data buyer yet. No further raise taken; compounds from cash flow. Profitable, independent, ~$11.8M by Year 7.</t>
  </si>
  <si>
    <t xml:space="preserve">Milestone clears — a third party pays for the benchmark data. A right-sized ~$8M Series A funds accelerated deployment. ~$60.6M by Year 7.</t>
  </si>
  <si>
    <t xml:space="preserve">Bull</t>
  </si>
  <si>
    <t xml:space="preserve">OPTION, not a plan. If execution goes well, Years 5-6 arrive with ~$23M revenue, ~$17M cash and positive operating cash flow — a position with real strategic optionality. Bull models what a new product line or market (likely acquisition-shaped) could add if one presents itself. The ~$30M Series B is illustrative of that shape, sized to the opportunity, not a committed raise. ~$91.3M by Year 7.</t>
  </si>
  <si>
    <t xml:space="preserve">AT A GLANCE  ·  active scenario</t>
  </si>
  <si>
    <t xml:space="preserve">Year 1</t>
  </si>
  <si>
    <t xml:space="preserve">Year 2</t>
  </si>
  <si>
    <t xml:space="preserve">Year 3</t>
  </si>
  <si>
    <t xml:space="preserve">Year 4</t>
  </si>
  <si>
    <t xml:space="preserve">Year 5</t>
  </si>
  <si>
    <t xml:space="preserve">Year 6</t>
  </si>
  <si>
    <t xml:space="preserve">Year 7</t>
  </si>
  <si>
    <t xml:space="preserve">Revenue</t>
  </si>
  <si>
    <t xml:space="preserve">EBIT</t>
  </si>
  <si>
    <t xml:space="preserve">Net income</t>
  </si>
  <si>
    <t xml:space="preserve">Ending cash</t>
  </si>
  <si>
    <t xml:space="preserve">Balance sheet check</t>
  </si>
  <si>
    <t xml:space="preserve">HOW THIS WORKBOOK IS ORGANIZED</t>
  </si>
  <si>
    <t xml:space="preserve">NAVIGATE</t>
  </si>
  <si>
    <t xml:space="preserve">Control · Summary</t>
  </si>
  <si>
    <t xml:space="preserve">Set the scenario toggle here; Summary gives the one-page picture.</t>
  </si>
  <si>
    <t xml:space="preserve">THE ASK</t>
  </si>
  <si>
    <t xml:space="preserve">Use of Funds · Valuation · Cap Table · Exit &amp; Return</t>
  </si>
  <si>
    <t xml:space="preserve">Why we're raising, how it's priced, who owns what, what everyone makes.</t>
  </si>
  <si>
    <t xml:space="preserve">THE STATEMENTS</t>
  </si>
  <si>
    <t xml:space="preserve">P&amp;L · Cash Flow · Balance Sheet</t>
  </si>
  <si>
    <t xml:space="preserve">Standard three-statement output. Balance sheet check row must read zero.</t>
  </si>
  <si>
    <t xml:space="preserve">THE DRIVERS</t>
  </si>
  <si>
    <t xml:space="preserve">Scenarios · Revenue Build · Staffing Plan</t>
  </si>
  <si>
    <t xml:space="preserve">Where revenue and headcount actually come from. Revenue is built bottom-up, not asserted.</t>
  </si>
  <si>
    <t xml:space="preserve">BACKUP</t>
  </si>
  <si>
    <t xml:space="preserve">S&amp;M · Product &amp; Data Eng · G&amp;A &amp; Exec Comp · COGS · WC &amp; Capex</t>
  </si>
  <si>
    <t xml:space="preserve">Line-by-line cost build-ups. Every blue cell is an input you can change.</t>
  </si>
  <si>
    <t xml:space="preserve">Blue cells are inputs. Green cells pull from another tab. Everything else is calculated — changing a blue cell flows through the entire model.</t>
  </si>
  <si>
    <t xml:space="preserve">AXIONIA — Operating Model Summary</t>
  </si>
  <si>
    <t xml:space="preserve">A $1M raise funds the build to a Year-3 milestone, which sets the funding path forward. Set the toggle on the Control tab — this page follows.</t>
  </si>
  <si>
    <t xml:space="preserve">Gross margin</t>
  </si>
  <si>
    <t xml:space="preserve">Cash from operations</t>
  </si>
  <si>
    <t xml:space="preserve">Capital raised (cumulative)</t>
  </si>
  <si>
    <t xml:space="preserve">BEAR / BASE / BULL AT YEAR 7</t>
  </si>
  <si>
    <t xml:space="preserve">Year 7 revenue</t>
  </si>
  <si>
    <t xml:space="preserve">Founder ownership</t>
  </si>
  <si>
    <t xml:space="preserve">Capital raised, total</t>
  </si>
  <si>
    <t xml:space="preserve">WHAT THE MODEL SAYS</t>
  </si>
  <si>
    <t xml:space="preserve">All three scenarios share the identical Year 1-3 build, funded by the $1M raised now. The Year-3 milestone determines the funding path forward.</t>
  </si>
  <si>
    <t xml:space="preserve">Gate test: has a third party (health plan, PE diligence, reinsurer) paid for the benchmark/ratings data?</t>
  </si>
  <si>
    <t xml:space="preserve">Bear (gate soft): no further raise; compounds to ~$11.8M revenue, ~$5.7M EBIT, ~73% founder ownership by Year 7 (post pool &amp; partner).</t>
  </si>
  <si>
    <t xml:space="preserve">Base (gate clears): a right-sized ~$8M Series A, fully deployed; ~$60.6M revenue, ~$31.6M EBIT, ~57% founder ownership by Year 7.</t>
  </si>
  <si>
    <t xml:space="preserve">Bull (upside option, not a plan): if a new product line or market opportunity presents itself at Year 5-6, an illustrative ~$30M Series B funds it; ~$91.3M revenue, ~43% founder ownership by Year 7. The point is that strong execution creates options — not that this specific path is committed.</t>
  </si>
  <si>
    <t xml:space="preserve">The balance sheet balances in every year of every scenario — see the check row on the Balance Sheet tab.</t>
  </si>
  <si>
    <t xml:space="preserve">Policy choices flagged for discussion: product/data-eng spend expensed as incurred (not capitalized); NOL tax carryforward</t>
  </si>
  <si>
    <t xml:space="preserve">     at a 26% post-NOL rate, simplified to ignore the TCJA 80%-of-taxable-income usage limit.</t>
  </si>
  <si>
    <t xml:space="preserve">Use of Funds — the $8M Series A</t>
  </si>
  <si>
    <t xml:space="preserve">What the capital buys, why cash still accumulates, and what to do about it. Base vs. Bear is the cleanest way to isolate what the money actually funds.</t>
  </si>
  <si>
    <t xml:space="preserve">THE CORE POINT</t>
  </si>
  <si>
    <t xml:space="preserve">Right-sized and deployed. The original $15M left capital permanently undrawn, because the business turns cash-positive in Year 2 and funds most of its own growth. The round is now $8M — sized to the actual pre-revenue investment window — and paired with accelerated hiring and data investment so the capital is consumed, not parked.</t>
  </si>
  <si>
    <t xml:space="preserve">INCREMENTAL INVESTMENT  ·  Base over Bear, Years 4-7</t>
  </si>
  <si>
    <t xml:space="preserve">4-yr total</t>
  </si>
  <si>
    <t xml:space="preserve">Sales &amp; marketing  (reps, channel, programs)</t>
  </si>
  <si>
    <t xml:space="preserve">Product, data engineering &amp; authority</t>
  </si>
  <si>
    <t xml:space="preserve">G&amp;A  (incl. CFO hire, expanded ops)</t>
  </si>
  <si>
    <t xml:space="preserve">Total incremental investment</t>
  </si>
  <si>
    <t xml:space="preserve">Series A raised</t>
  </si>
  <si>
    <t xml:space="preserve">Funded by operating cash flow</t>
  </si>
  <si>
    <t xml:space="preserve">WHAT THE CAPITAL BUYS  ·  Bear vs. Base at Year 7</t>
  </si>
  <si>
    <t xml:space="preserve">Delta</t>
  </si>
  <si>
    <t xml:space="preserve">Year 7 headcount</t>
  </si>
  <si>
    <t xml:space="preserve">Revenue per $1 of Series A capital</t>
  </si>
  <si>
    <t xml:space="preserve">The $8M does not plug a funding gap — it buys permission to hire ahead of revenue and deepen the benchmark data asset years before either pays back. Bear proves the business works without capital ($11.8M). Base uses capital to compress the timeline ($60.6M) — on a smaller round than originally modeled.</t>
  </si>
  <si>
    <t xml:space="preserve">DECISION  ·  right-size the round, then deploy it</t>
  </si>
  <si>
    <t xml:space="preserve">Shrinking the raise alone would not have solved the idle-cash problem — at any raise size, the business still generates enough operating cash flow to accumulate a large balance by Year 7. The fix required both halves: a smaller round AND accelerated deployment. Hiring pulled forward, data acquisition deepened, channel and Data Store engines scaled harder in the years the capital is available.</t>
  </si>
  <si>
    <t xml:space="preserve">Original plan</t>
  </si>
  <si>
    <t xml:space="preserve">Right-sized plan</t>
  </si>
  <si>
    <t xml:space="preserve">Change</t>
  </si>
  <si>
    <t xml:space="preserve">Series A raise</t>
  </si>
  <si>
    <t xml:space="preserve">$15.0M</t>
  </si>
  <si>
    <t xml:space="preserve">$8.0M</t>
  </si>
  <si>
    <t xml:space="preserve">-$7.0M</t>
  </si>
  <si>
    <t xml:space="preserve">Series A dilution</t>
  </si>
  <si>
    <t xml:space="preserve">34.1%</t>
  </si>
  <si>
    <t xml:space="preserve">21.6%</t>
  </si>
  <si>
    <t xml:space="preserve">-12.5 pts</t>
  </si>
  <si>
    <t xml:space="preserve">Founder ownership (Base)</t>
  </si>
  <si>
    <t xml:space="preserve">48.0%</t>
  </si>
  <si>
    <t xml:space="preserve">57.1%</t>
  </si>
  <si>
    <t xml:space="preserve">+9.1 pts</t>
  </si>
  <si>
    <t xml:space="preserve">Year 7 revenue (Base)</t>
  </si>
  <si>
    <t xml:space="preserve">$46.3M</t>
  </si>
  <si>
    <t xml:space="preserve">$60.6M</t>
  </si>
  <si>
    <t xml:space="preserve">+$14.3M</t>
  </si>
  <si>
    <t xml:space="preserve">Year 7 EBIT (Base)</t>
  </si>
  <si>
    <t xml:space="preserve">$22.1M</t>
  </si>
  <si>
    <t xml:space="preserve">$31.6M</t>
  </si>
  <si>
    <t xml:space="preserve">+$9.5M</t>
  </si>
  <si>
    <t xml:space="preserve">Founder proceeds (Base, EBIT)</t>
  </si>
  <si>
    <t xml:space="preserve">$54M-$135M</t>
  </si>
  <si>
    <t xml:space="preserve">$93M-$232M</t>
  </si>
  <si>
    <t xml:space="preserve">materially higher</t>
  </si>
  <si>
    <t xml:space="preserve">A smaller round produced a bigger outcome — less dilution, more revenue, higher founder proceeds — because the capital is deployed against growth rather than held. Framing: "We are not raising to survive; we are raising to compress the timeline." Bear reaches $11.8M without capital. Base reaches $60.6M with $8M.</t>
  </si>
  <si>
    <t xml:space="preserve">SERIES B  ·  an option, not a plan</t>
  </si>
  <si>
    <t xml:space="preserve">The same discipline applied to Series A applies here. Bull enters Year 5 with ~$11.7M cash and ~$6.7M/yr of operating cash flow — the business does not need outside capital to keep growing. Raising $30M against that balance sheet only makes sense if a specific opportunity requires it: a new product line or market, most likely acquisition-shaped.</t>
  </si>
  <si>
    <t xml:space="preserve">THE POSITION AT YEAR 5-6  ·  why options exist at all</t>
  </si>
  <si>
    <t xml:space="preserve">What it means</t>
  </si>
  <si>
    <t xml:space="preserve">Revenue  (Base)</t>
  </si>
  <si>
    <t xml:space="preserve">Scaled and growing without further capital.</t>
  </si>
  <si>
    <t xml:space="preserve">Cash on hand  (active scenario)</t>
  </si>
  <si>
    <t xml:space="preserve">Balance sheet strength to act without diluting.</t>
  </si>
  <si>
    <t xml:space="preserve">Operating cash flow  (active scenario)</t>
  </si>
  <si>
    <t xml:space="preserve">Self-funding — any raise is a choice, not a necessity.</t>
  </si>
  <si>
    <t xml:space="preserve">THE FRAMING: we are not asking anyone to underwrite Bull. Base is the plan. Bull shows the ceiling if strong execution produces an opportunity worth pursuing — a new product line, a new market, or an acquisition that brings one. The $30M is illustrative of that shape and would be sized to the specific opportunity. Not knowing today which option we exercise is the honest position, and the optionality itself is the point.</t>
  </si>
  <si>
    <t xml:space="preserve">Note: the revenue row is hard-wired to Base — the position reached WITHOUT any Series B. Cash and operating cash flow follow the Control toggle, so set it to Base when using this block to judge whether Series B is genuinely optional. That is what makes the option real: the company arrives at that point regardless, then chooses.</t>
  </si>
  <si>
    <t xml:space="preserve">Valuation Justification  ·  Seed &amp; Series A</t>
  </si>
  <si>
    <t xml:space="preserve">Grounded in 2026 market benchmarks (Carta, Pitchbook-NVCA, Kruze Consulting) and Axionia's own modeled trajectory.</t>
  </si>
  <si>
    <t xml:space="preserve">SEED  ·  $6.0M pre-money / $7.0M post-money on a $1.0M raise</t>
  </si>
  <si>
    <t xml:space="preserve">Round size vs. market</t>
  </si>
  <si>
    <t xml:space="preserve">Axionia's $1.0M raise is pre-seed-sized, not full-seed (2026 seed median raise is $3.1-3.2M). Pre-seed post-money benchmarks run $3M-$10M, median ~$5-7.1M (YC standard cap). Axionia's $7.0M post-money sits mid-band — appropriately calibrated, not aggressive.</t>
  </si>
  <si>
    <t xml:space="preserve">Founder premium</t>
  </si>
  <si>
    <t xml:space="preserve">2026 data: 'strong repeat founders' command $8-10M pre-seed caps on pedigree alone. Tom's profile — 20+ years healthcare analytics, Yale MBA, prior VP/SVP roles, $500M+ in underwritten risk products — sits well above the typical first-time-founder profile this benchmark describes. If anything, $6.0M pre-money is conservative relative to what the founder-quality premium alone could support.</t>
  </si>
  <si>
    <t xml:space="preserve">Product &amp; traction signal</t>
  </si>
  <si>
    <t xml:space="preserve">2026 pre-seed investors increasingly expect a functional product, not just a deck. Axionia has a working Research Agent pipeline, a defined benchmark-data architecture, and live discovery/reporting engagements already underway — the kind of signal that supports pricing at or above the benchmark midpoint.</t>
  </si>
  <si>
    <t xml:space="preserve">SERIES A  ·  $29.0M pre-money / $37.0M post-money on a $8.0M raise</t>
  </si>
  <si>
    <t xml:space="preserve">2026 Series A median raise is ~$12M on a $25-50M pre-money range (median ~$45M pre-money). Axionia's round is deliberately smaller than median: $8M at $29M pre-money. The business is cash-generative from Year 2 and funds most of its own growth, so the round is sized to the pre-revenue investment window rather than to market convention — which means materially less dilution (21.6%) for the same growth plan.</t>
  </si>
  <si>
    <t xml:space="preserve">REVENUE-MULTIPLE CROSS-CHECK</t>
  </si>
  <si>
    <t xml:space="preserve">Basis</t>
  </si>
  <si>
    <t xml:space="preserve">Multiple range</t>
  </si>
  <si>
    <t xml:space="preserve">Implied pre-money</t>
  </si>
  <si>
    <t xml:space="preserve">Trailing Year-3 revenue  (Base scenario)</t>
  </si>
  <si>
    <t xml:space="preserve">8x - 10x</t>
  </si>
  <si>
    <t xml:space="preserve">Forward Year-4 revenue  (Base scenario)</t>
  </si>
  <si>
    <t xml:space="preserve">3.5x - 4.0x</t>
  </si>
  <si>
    <t xml:space="preserve">Year-3 → Year-4 growth rate</t>
  </si>
  <si>
    <t xml:space="preserve">Modeled Series A pre-money</t>
  </si>
  <si>
    <t xml:space="preserve">2026 benchmark: &gt;40% YoY growth commands 7-10x ARR; 'strong fundamentals' cluster 8-12x. Axionia's Year-3 to Year-4 growth (above) clears that bar comfortably, and the $29M modeled pre-money sits within the range implied by both the trailing and forward revenue multiples.</t>
  </si>
  <si>
    <t xml:space="preserve">The Series A isn't priced on growth rate alone. It's triggered by a specific, falsifiable milestone: a third party paying for the benchmark data. 2026 Series A investors are explicit that the numbers carry the story at this stage — a proven, monetizing data asset is exactly that kind of evidence, and it's evidence a pure revenue-multiple comp doesn't capture.</t>
  </si>
  <si>
    <t xml:space="preserve">The Series A isn't priced on growth rate alone. It's triggered by a specific, falsifiable milestone: a third party (health plan, PE diligence, reinsurer) paying for the benchmark data. 2026 Series A investors are explicit that 'the numbers carry the story' at this stage, not the narrative — a proven, monetizing data asset is exactly the kind of evidence this bar describes, and it's evidence a pure revenue-multiple comp doesn't capture.</t>
  </si>
  <si>
    <t xml:space="preserve">SOURCES</t>
  </si>
  <si>
    <t xml:space="preserve">Carta State of Private Markets, Q3 2025 SaaS spotlight</t>
  </si>
  <si>
    <t xml:space="preserve">Pitchbook-NVCA Venture Monitor, Q3 2025</t>
  </si>
  <si>
    <t xml:space="preserve">Kruze Consulting 2026 Startup CEO Salary Report</t>
  </si>
  <si>
    <t xml:space="preserve">StartupCFO.ai 2026 Founder Salary Report; Warp 2026 Founder Salary Guide</t>
  </si>
  <si>
    <t xml:space="preserve">Aggregated 2026 seed/Series A market guides (SaaSUltra, Flowjam, ValueAddVC, Causo Hub)</t>
  </si>
  <si>
    <t xml:space="preserve">Cap Table  ·  illustrative</t>
  </si>
  <si>
    <t xml:space="preserve">Single-class common, no option pool modeled. Pricing is illustrative — the point is relative dilution across scenarios, not exact terms.</t>
  </si>
  <si>
    <t xml:space="preserve">ROUNDS</t>
  </si>
  <si>
    <t xml:space="preserve">Timing</t>
  </si>
  <si>
    <t xml:space="preserve">Raise</t>
  </si>
  <si>
    <t xml:space="preserve">Pre-money</t>
  </si>
  <si>
    <t xml:space="preserve">Post-money</t>
  </si>
  <si>
    <t xml:space="preserve">New investor %</t>
  </si>
  <si>
    <t xml:space="preserve">Seed  (all scenarios)</t>
  </si>
  <si>
    <t xml:space="preserve">Series A  (Base &amp; Bull)</t>
  </si>
  <si>
    <t xml:space="preserve">Series B  (Bull only — OPTIONAL, illustrative)</t>
  </si>
  <si>
    <t xml:space="preserve">OWNERSHIP WATERFALL  ·  founder &amp; seed dilute pro-rata at each round</t>
  </si>
  <si>
    <t xml:space="preserve">Founder</t>
  </si>
  <si>
    <t xml:space="preserve">Seed</t>
  </si>
  <si>
    <t xml:space="preserve">Series A</t>
  </si>
  <si>
    <t xml:space="preserve">Series B</t>
  </si>
  <si>
    <t xml:space="preserve">After Seed</t>
  </si>
  <si>
    <t xml:space="preserve">-</t>
  </si>
  <si>
    <t xml:space="preserve">After Series A</t>
  </si>
  <si>
    <t xml:space="preserve">After Series B</t>
  </si>
  <si>
    <t xml:space="preserve">FOUNDER OWNERSHIP AT YEAR 7  ·  by scenario</t>
  </si>
  <si>
    <t xml:space="preserve">Bear  (Seed only)</t>
  </si>
  <si>
    <t xml:space="preserve">Base  (Seed + Series A)</t>
  </si>
  <si>
    <t xml:space="preserve">Bull  (Seed + Series A + Series B)</t>
  </si>
  <si>
    <t xml:space="preserve">FOUNDER PERFORMANCE EQUITY TRANCHE  ·  in lieu of cash bonus</t>
  </si>
  <si>
    <t xml:space="preserve">Tranche size  (% of fully-diluted, carved pre-money at Seed)</t>
  </si>
  <si>
    <t xml:space="preserve">Tied to the same Year-3 milestone that gates the whole model. If earned, Tom's total ownership ends up identical to the no-pool baseline below — this isn't a transfer to someone else, it's a risk-sharing structure: part of his stake becomes contingent rather than guaranteed from day one. If forfeited, the unvested tranche benefits other shareholders proportionally.</t>
  </si>
  <si>
    <t xml:space="preserve">Guaranteed</t>
  </si>
  <si>
    <t xml:space="preserve">Performance tranche</t>
  </si>
  <si>
    <t xml:space="preserve">Total if earned</t>
  </si>
  <si>
    <t xml:space="preserve">No-pool baseline</t>
  </si>
  <si>
    <t xml:space="preserve">Check</t>
  </si>
  <si>
    <t xml:space="preserve">EMPLOYEE OPTION POOL  ·  for key hires in Years 2-3</t>
  </si>
  <si>
    <t xml:space="preserve">Pool size  (% of fully-diluted)</t>
  </si>
  <si>
    <t xml:space="preserve">WHO PAYS: in a priced round, investors almost always require the pool to be carved from the PRE-money valuation — it dilutes existing shareholders (Tom), not the incoming investor. This is the 'pool shuffle.' NOTE: the timing comparison below shows an identical founder % either way, because pre-money dilution factors multiply and order does not change the product. The real decision is not WHEN to carve, but WHETHER equity is available when key hires arrive — and how large the pool is.</t>
  </si>
  <si>
    <t xml:space="preserve">Option A: pool at Seed</t>
  </si>
  <si>
    <t xml:space="preserve">Option B: pool at Series A</t>
  </si>
  <si>
    <t xml:space="preserve">Difference (nil — see note)</t>
  </si>
  <si>
    <t xml:space="preserve">Founder — Bear  (Seed only)</t>
  </si>
  <si>
    <t xml:space="preserve">Founder — Base  (Seed + Series A)</t>
  </si>
  <si>
    <t xml:space="preserve">Founder — Bull  (Seed + A + B)</t>
  </si>
  <si>
    <t xml:space="preserve">Pool value at exit  (Base, EBIT-multiple range)</t>
  </si>
  <si>
    <t xml:space="preserve">  what the whole pool is worth to distribute across all early hires</t>
  </si>
  <si>
    <t xml:space="preserve">TAKEAWAY: pool SIZE drives founder dilution; pool TIMING does not. Create it early enough that equity is available for Year 2-3 hires, and size it to an actual hiring plan rather than a round-number convention — every unused point stays with existing shareholders.</t>
  </si>
  <si>
    <t xml:space="preserve">INDICATIVE GRANT RANGES  ·  % of fully-diluted, at this stage</t>
  </si>
  <si>
    <t xml:space="preserve">Partner / co-founder-level</t>
  </si>
  <si>
    <t xml:space="preserve">2% - 8%</t>
  </si>
  <si>
    <t xml:space="preserve">Taking founder-level risk and below-market cash. See note below — arguably should NOT come from the pool.</t>
  </si>
  <si>
    <t xml:space="preserve">First VP / executive hires</t>
  </si>
  <si>
    <t xml:space="preserve">0.5% - 2%</t>
  </si>
  <si>
    <t xml:space="preserve">Head of Sales, Head of Product, senior domain leader.</t>
  </si>
  <si>
    <t xml:space="preserve">Early senior individual contributors</t>
  </si>
  <si>
    <t xml:space="preserve">0.1% - 0.5%</t>
  </si>
  <si>
    <t xml:space="preserve">First engineers, first analysts, first BD rep.</t>
  </si>
  <si>
    <t xml:space="preserve">Support / administrative roles</t>
  </si>
  <si>
    <t xml:space="preserve">0% - 0.1%</t>
  </si>
  <si>
    <t xml:space="preserve">Often cash-only at this stage.</t>
  </si>
  <si>
    <t xml:space="preserve">Standard terms: 4-year vesting, 1-year cliff. The cliff is the protection — if an early hire does not work out inside year one, nothing vests.</t>
  </si>
  <si>
    <t xml:space="preserve">PARTNER GRANT  ·  modeled separately from the pool</t>
  </si>
  <si>
    <t xml:space="preserve">Partner grant  (% of fully-diluted, if applicable)</t>
  </si>
  <si>
    <t xml:space="preserve">Founder — Base, after pool AND partner grant</t>
  </si>
  <si>
    <t xml:space="preserve">Founder — Bull, after pool AND partner grant</t>
  </si>
  <si>
    <t xml:space="preserve">Recommend the same milestone-linked vesting discipline used for the founder performance tranche above — a partner grant that vests on shared, falsifiable outcomes rather than time alone.</t>
  </si>
  <si>
    <t xml:space="preserve">FULLY-DILUTED OWNERSHIP  ·  post-pool &amp; partner — THE authoritative table used everywhere downstream</t>
  </si>
  <si>
    <t xml:space="preserve">Pool and partner are carved pre-money; investor percentages are unaffected by them. Founder absorbs the dilution.</t>
  </si>
  <si>
    <t xml:space="preserve">Pool</t>
  </si>
  <si>
    <t xml:space="preserve">Partner</t>
  </si>
  <si>
    <t xml:space="preserve">Check — each row must total 100%</t>
  </si>
  <si>
    <t xml:space="preserve">Exit &amp; Return on Capital</t>
  </si>
  <si>
    <t xml:space="preserve">Year 7 exit, both bases shown. EBIT multiple is primary per Tom's view; revenue multiple shown for comparison. Range reflects services-multiple contraction vs. a genuinely protectable, strategic-buyer premium.</t>
  </si>
  <si>
    <t xml:space="preserve">EXIT MULTIPLE ASSUMPTIONS  ·  Year 7, Low / Mid / High</t>
  </si>
  <si>
    <t xml:space="preserve">Low</t>
  </si>
  <si>
    <t xml:space="preserve">Mid</t>
  </si>
  <si>
    <t xml:space="preserve">High</t>
  </si>
  <si>
    <t xml:space="preserve">Revenue multiple</t>
  </si>
  <si>
    <t xml:space="preserve">EBIT multiple  (primary basis)</t>
  </si>
  <si>
    <t xml:space="preserve">Likely acquirer: a distribution channel (broker/consultant) whose economics this business threatens — a defensive strategic buyer, not primarily a financial one.</t>
  </si>
  <si>
    <t xml:space="preserve">YEAR 7 FINANCIALS  ·  fixed per scenario, not toggle-dependent</t>
  </si>
  <si>
    <t xml:space="preserve">COGS  (bottom-up analyst build, per scenario)</t>
  </si>
  <si>
    <t xml:space="preserve">Total operating expense  (S&amp;M + Product&amp;Eng + G&amp;A)</t>
  </si>
  <si>
    <t xml:space="preserve">EBIT  (pre-D&amp;A)</t>
  </si>
  <si>
    <t xml:space="preserve">  excludes the minor equipment D&amp;A line — immaterial at this scale (~1-2% of EBIT).  COGS above is the bottom-up analyst build (COGS &amp; Overhead Build, rows 87-98), the same basis the P&amp;L uses — not the Scenarios-tab gross-margin assumption, which is a legacy input retained only for reference.</t>
  </si>
  <si>
    <t xml:space="preserve">EXIT ENTERPRISE VALUE  ·  Revenue multiple</t>
  </si>
  <si>
    <t xml:space="preserve">EXIT ENTERPRISE VALUE  ·  EBIT multiple  (primary)</t>
  </si>
  <si>
    <t xml:space="preserve">RETURNS BY INVESTOR CLASS  ·  EBIT multiple  (primary basis)</t>
  </si>
  <si>
    <t xml:space="preserve">BEAR  (Seed only, 7-year hold)</t>
  </si>
  <si>
    <t xml:space="preserve">Capital in</t>
  </si>
  <si>
    <t xml:space="preserve">Exit %</t>
  </si>
  <si>
    <t xml:space="preserve">Proceeds  (low - high)</t>
  </si>
  <si>
    <t xml:space="preserve">MOIC  (low - high)</t>
  </si>
  <si>
    <t xml:space="preserve">IRR  (low - high)</t>
  </si>
  <si>
    <t xml:space="preserve">n/a — sweat equity</t>
  </si>
  <si>
    <t xml:space="preserve">—</t>
  </si>
  <si>
    <t xml:space="preserve">Option pool</t>
  </si>
  <si>
    <t xml:space="preserve">carved pre-money</t>
  </si>
  <si>
    <t xml:space="preserve">BASE  (Seed + Series A)</t>
  </si>
  <si>
    <t xml:space="preserve">BULL  (Seed + Series A + Series B)</t>
  </si>
  <si>
    <t xml:space="preserve">RETURNS BY INVESTOR CLASS  ·  Revenue multiple  (comparison basis)</t>
  </si>
  <si>
    <t xml:space="preserve">FULL OWNERSHIP AT EXIT  ·  every holder, EBIT-multiple basis</t>
  </si>
  <si>
    <t xml:space="preserve">Includes the partner grant, which is shown here rather than in the blocks above. Percentages tie to the Cap Table post-dilution table and sum to 100% in each scenario.</t>
  </si>
  <si>
    <t xml:space="preserve">Bear — % owned</t>
  </si>
  <si>
    <t xml:space="preserve">   proceeds (low - high)</t>
  </si>
  <si>
    <t xml:space="preserve">Base — % owned</t>
  </si>
  <si>
    <t xml:space="preserve">Bull — % owned</t>
  </si>
  <si>
    <t xml:space="preserve">Check — each row totals 100%</t>
  </si>
  <si>
    <t xml:space="preserve">Income Statement</t>
  </si>
  <si>
    <t xml:space="preserve">Product/data-eng and data-acquisition spend expensed as incurred (policy choice — flagged below). D&amp;A is the minor equipment/infra schedule only.</t>
  </si>
  <si>
    <t xml:space="preserve">Cost of goods sold</t>
  </si>
  <si>
    <t xml:space="preserve">Gross profit</t>
  </si>
  <si>
    <t xml:space="preserve">  gross margin</t>
  </si>
  <si>
    <t xml:space="preserve">Sales &amp; marketing</t>
  </si>
  <si>
    <t xml:space="preserve">General &amp; administrative</t>
  </si>
  <si>
    <t xml:space="preserve">Total operating expense</t>
  </si>
  <si>
    <t xml:space="preserve">EBITDA</t>
  </si>
  <si>
    <t xml:space="preserve">Depreciation &amp; amortization</t>
  </si>
  <si>
    <t xml:space="preserve">  EBIT margin</t>
  </si>
  <si>
    <t xml:space="preserve">Interest income  (on beginning cash)</t>
  </si>
  <si>
    <t xml:space="preserve">Pre-tax income</t>
  </si>
  <si>
    <t xml:space="preserve">TAX  (NOL carryforward)</t>
  </si>
  <si>
    <t xml:space="preserve">NOL balance, beginning</t>
  </si>
  <si>
    <t xml:space="preserve">NOL balance, ending</t>
  </si>
  <si>
    <t xml:space="preserve">Income tax provision</t>
  </si>
  <si>
    <t xml:space="preserve">  net margin</t>
  </si>
  <si>
    <t xml:space="preserve">▲ Policy: product/eng + data-acquisition spend expensed as incurred, not capitalized — a conservative, transparency-first choice.</t>
  </si>
  <si>
    <t xml:space="preserve">   Capitalizing more of this spend would raise near-term EBITDA and support a different valuation framing — open to revisiting.</t>
  </si>
  <si>
    <t xml:space="preserve">Statement of Cash Flows</t>
  </si>
  <si>
    <t xml:space="preserve">Indirect method. Working-capital deltas and financing pull from the WC &amp; Capex and Scenarios tabs.</t>
  </si>
  <si>
    <t xml:space="preserve">OPERATING ACTIVITIES</t>
  </si>
  <si>
    <t xml:space="preserve">+ Depreciation &amp; amortization</t>
  </si>
  <si>
    <t xml:space="preserve">(Increase) / decrease in AR</t>
  </si>
  <si>
    <t xml:space="preserve">Increase / (decrease) in deferred revenue</t>
  </si>
  <si>
    <t xml:space="preserve">Increase / (decrease) in AP</t>
  </si>
  <si>
    <t xml:space="preserve">INVESTING ACTIVITIES</t>
  </si>
  <si>
    <t xml:space="preserve">Capital expenditures</t>
  </si>
  <si>
    <t xml:space="preserve">Cash from investing</t>
  </si>
  <si>
    <t xml:space="preserve">FINANCING ACTIVITIES</t>
  </si>
  <si>
    <t xml:space="preserve">Equity capital raised</t>
  </si>
  <si>
    <t xml:space="preserve">Cash from financing</t>
  </si>
  <si>
    <t xml:space="preserve">Net change in cash</t>
  </si>
  <si>
    <t xml:space="preserve">Beginning cash</t>
  </si>
  <si>
    <t xml:space="preserve">Balance Sheet</t>
  </si>
  <si>
    <t xml:space="preserve">Period-end. Row 20 is a check — must read zero every year. No option pool / minority interest modeled.</t>
  </si>
  <si>
    <t xml:space="preserve">ASSETS</t>
  </si>
  <si>
    <t xml:space="preserve">Cash</t>
  </si>
  <si>
    <t xml:space="preserve">Accounts receivable</t>
  </si>
  <si>
    <t xml:space="preserve">PP&amp;E, net</t>
  </si>
  <si>
    <t xml:space="preserve">Total assets</t>
  </si>
  <si>
    <t xml:space="preserve">LIABILITIES</t>
  </si>
  <si>
    <t xml:space="preserve">Accounts payable</t>
  </si>
  <si>
    <t xml:space="preserve">Deferred revenue</t>
  </si>
  <si>
    <t xml:space="preserve">Total liabilities</t>
  </si>
  <si>
    <t xml:space="preserve">EQUITY</t>
  </si>
  <si>
    <t xml:space="preserve">Paid-in capital  (cumulative)</t>
  </si>
  <si>
    <t xml:space="preserve">Retained earnings  (accumulated deficit)</t>
  </si>
  <si>
    <t xml:space="preserve">Total equity</t>
  </si>
  <si>
    <t xml:space="preserve">Check  (assets − liabilities − equity)</t>
  </si>
  <si>
    <t xml:space="preserve">Scenario Data</t>
  </si>
  <si>
    <t xml:space="preserve">Years 1-3 identical across all three — funded by the $1M raised now. Divergence starts Year 4, based on Year-3 results.</t>
  </si>
  <si>
    <t xml:space="preserve">REVENUE  ($)</t>
  </si>
  <si>
    <t xml:space="preserve">GROSS MARGIN  ·  LEGACY INPUT — no longer drives any statement; COGS is built bottom-up on COGS &amp; Overhead Build</t>
  </si>
  <si>
    <t xml:space="preserve">TOTAL OPERATING EXPENSE  ($)  ·  SUPERSEDED — kept for reference only</t>
  </si>
  <si>
    <t xml:space="preserve">CAPITAL RAISED THIS YEAR  ($)</t>
  </si>
  <si>
    <t xml:space="preserve">Revenue Build — Bottom-Up Pressure Test</t>
  </si>
  <si>
    <t xml:space="preserve">All 7 years. Client-count and seasonal-cohort driven. Follows the Control toggle for Years 4-7, where scenarios diverge.</t>
  </si>
  <si>
    <t xml:space="preserve">PRICING &amp; COHORT TIMING  ·  configurable</t>
  </si>
  <si>
    <t xml:space="preserve">Monthly revenue per client — low</t>
  </si>
  <si>
    <t xml:space="preserve">Monthly revenue per client — mid  (used below)</t>
  </si>
  <si>
    <t xml:space="preserve">Monthly revenue per client — high</t>
  </si>
  <si>
    <t xml:space="preserve">  implied annual ACV at mid rate</t>
  </si>
  <si>
    <t xml:space="preserve">Jan-Mar cohort — avg months active in signing year</t>
  </si>
  <si>
    <t xml:space="preserve">Jul-Aug cohort — avg months active in signing year</t>
  </si>
  <si>
    <t xml:space="preserve">Jan-Mar cohort share of new adds</t>
  </si>
  <si>
    <t xml:space="preserve">Jul-Aug cohort share</t>
  </si>
  <si>
    <t xml:space="preserve">  blended avg months active  (check vs. your ~9mo target)</t>
  </si>
  <si>
    <t xml:space="preserve">BD rep quota  (new clients/rep/year)</t>
  </si>
  <si>
    <t xml:space="preserve">Enterprise rep quota</t>
  </si>
  <si>
    <t xml:space="preserve">VP Sales quota  (player-coach)</t>
  </si>
  <si>
    <t xml:space="preserve">Retention rate, Years 1-3</t>
  </si>
  <si>
    <t xml:space="preserve">Retention rate, Years 4-7</t>
  </si>
  <si>
    <t xml:space="preserve">SALES CAPACITY  ·  follows the Control toggle (Y1-3 identical across scenarios, Y4-7 diverge)</t>
  </si>
  <si>
    <t xml:space="preserve">Founder-sourced new clients</t>
  </si>
  <si>
    <t xml:space="preserve">BD reps</t>
  </si>
  <si>
    <t xml:space="preserve">Enterprise reps</t>
  </si>
  <si>
    <t xml:space="preserve">VP Sales</t>
  </si>
  <si>
    <t xml:space="preserve">New-client capacity  (founder + reps x quota)</t>
  </si>
  <si>
    <t xml:space="preserve">CLIENT ROLL-FORWARD &amp; BOTTOM-UP REVENUE</t>
  </si>
  <si>
    <t xml:space="preserve">Applicable retention rate</t>
  </si>
  <si>
    <t xml:space="preserve">Beginning clients</t>
  </si>
  <si>
    <t xml:space="preserve">Retained clients  (beginning x retention)</t>
  </si>
  <si>
    <t xml:space="preserve">New clients this year  (= capacity, row 29)</t>
  </si>
  <si>
    <t xml:space="preserve">  of which: Jan-Mar / Jul-Aug</t>
  </si>
  <si>
    <t xml:space="preserve">Ending clients</t>
  </si>
  <si>
    <t xml:space="preserve">Revenue — retained clients  (full year, at mid rate)</t>
  </si>
  <si>
    <t xml:space="preserve">Revenue — new clients  (blended months x mid rate)</t>
  </si>
  <si>
    <t xml:space="preserve">BOTTOM-UP REVENUE</t>
  </si>
  <si>
    <t xml:space="preserve">PRESSURE TEST  ·  bottom-up vs. currently modeled  (active scenario)</t>
  </si>
  <si>
    <t xml:space="preserve">Bottom-up revenue</t>
  </si>
  <si>
    <t xml:space="preserve">Currently modeled  (Scenarios tab, active scenario)</t>
  </si>
  <si>
    <t xml:space="preserve">Gap</t>
  </si>
  <si>
    <t xml:space="preserve">Gap, %</t>
  </si>
  <si>
    <t xml:space="preserve">WHAT IT WOULD TAKE TO HIT EACH MILESTONE  ·  assumes prior years also hit target</t>
  </si>
  <si>
    <t xml:space="preserve">Target revenue  (currently modeled)</t>
  </si>
  <si>
    <t xml:space="preserve">Target-achieving beginning clients</t>
  </si>
  <si>
    <t xml:space="preserve">Target-achieving retained revenue</t>
  </si>
  <si>
    <t xml:space="preserve">New clients required to close the gap</t>
  </si>
  <si>
    <t xml:space="preserve">Target-achieving ending clients</t>
  </si>
  <si>
    <t xml:space="preserve">  vs. current bottom-up capacity  (row 29)</t>
  </si>
  <si>
    <t xml:space="preserve">Additional BD reps needed  (at quota)</t>
  </si>
  <si>
    <t xml:space="preserve">  incremental cost  (at $150K loaded)</t>
  </si>
  <si>
    <t xml:space="preserve">OTHER REVENUE ENGINES  ·  not tested above — likely where most of the apparent gap actually lives</t>
  </si>
  <si>
    <t xml:space="preserve">VBC revenue is NOT modeled here — needs a clearer definition of the product/fee structure before it goes into numbers.</t>
  </si>
  <si>
    <t xml:space="preserve">Channel — new partners signed/year  (Bear/Base/Bull)</t>
  </si>
  <si>
    <t xml:space="preserve">  Bear</t>
  </si>
  <si>
    <t xml:space="preserve">  Base</t>
  </si>
  <si>
    <t xml:space="preserve">  Bull</t>
  </si>
  <si>
    <t xml:space="preserve">Channel partners signed  (active scenario)</t>
  </si>
  <si>
    <t xml:space="preserve">Avg annual value per channel partner</t>
  </si>
  <si>
    <t xml:space="preserve">Cumulative channel partners  (ending)</t>
  </si>
  <si>
    <t xml:space="preserve">Channel revenue</t>
  </si>
  <si>
    <t xml:space="preserve">Data/Ratings — new customers signed/year  (Bear/Base/Bull)</t>
  </si>
  <si>
    <t xml:space="preserve">Data/Ratings customers signed  (active scenario)</t>
  </si>
  <si>
    <t xml:space="preserve">Avg annual value per data/ratings customer</t>
  </si>
  <si>
    <t xml:space="preserve">Cumulative data/ratings customers  (ending)</t>
  </si>
  <si>
    <t xml:space="preserve">Data/Ratings revenue</t>
  </si>
  <si>
    <t xml:space="preserve">Expansion — decision-event attach rate  (% of ending Direct clients/year)</t>
  </si>
  <si>
    <t xml:space="preserve">Avg decision-event fee</t>
  </si>
  <si>
    <t xml:space="preserve">Expansion revenue  (= Direct ending clients x attach rate x fee)</t>
  </si>
  <si>
    <t xml:space="preserve">TOTAL BOTTOM-UP REVENUE  ·  Direct + Channel + Data/Ratings + Expansion</t>
  </si>
  <si>
    <t xml:space="preserve">Direct  (row 41)</t>
  </si>
  <si>
    <t xml:space="preserve">Channel  (row 69)</t>
  </si>
  <si>
    <t xml:space="preserve">Data/Ratings  (row 78)</t>
  </si>
  <si>
    <t xml:space="preserve">Expansion / decision-event  (row 82)</t>
  </si>
  <si>
    <t xml:space="preserve">TOTAL — ALL ENGINES  (incl. Data Store)</t>
  </si>
  <si>
    <t xml:space="preserve">REVISED PRESSURE TEST  ·  all engines vs. currently modeled</t>
  </si>
  <si>
    <t xml:space="preserve">Bottom-up revenue, all engines</t>
  </si>
  <si>
    <t xml:space="preserve">Currently modeled  (active scenario)</t>
  </si>
  <si>
    <t xml:space="preserve">  memo: Direct-only gap, %  (row 47, for comparison)</t>
  </si>
  <si>
    <t xml:space="preserve">BEAR — FIXED CALCULATION  ·  not toggle-dependent, wired directly into Scenarios</t>
  </si>
  <si>
    <t xml:space="preserve">This section always reflects Bear specifically, regardless of the Control toggle position — needed because Scenarios!Bear-row must stay correct even when Base or Bull is selected elsewhere.</t>
  </si>
  <si>
    <t xml:space="preserve">BD reps  (Bear)</t>
  </si>
  <si>
    <t xml:space="preserve">Enterprise reps  (Bear)</t>
  </si>
  <si>
    <t xml:space="preserve">VP Sales  (Bear)</t>
  </si>
  <si>
    <t xml:space="preserve">New-client capacity  (Bear)</t>
  </si>
  <si>
    <t xml:space="preserve">Applicable retention  (Bear)</t>
  </si>
  <si>
    <t xml:space="preserve">Beginning clients  (Bear)</t>
  </si>
  <si>
    <t xml:space="preserve">Retained clients  (Bear)</t>
  </si>
  <si>
    <t xml:space="preserve">New clients this year  (Bear)</t>
  </si>
  <si>
    <t xml:space="preserve">Ending clients  (Bear)</t>
  </si>
  <si>
    <t xml:space="preserve">Direct revenue  (Bear)</t>
  </si>
  <si>
    <t xml:space="preserve">Cumulative channel partners  (Bear)</t>
  </si>
  <si>
    <t xml:space="preserve">Channel revenue  (Bear)</t>
  </si>
  <si>
    <t xml:space="preserve">Cumulative data/ratings customers  (Bear)</t>
  </si>
  <si>
    <t xml:space="preserve">Data/Ratings revenue  (Bear)</t>
  </si>
  <si>
    <t xml:space="preserve">Expansion revenue  (Bear)</t>
  </si>
  <si>
    <t xml:space="preserve">TOTAL BEAR REVENUE  (fixed)</t>
  </si>
  <si>
    <t xml:space="preserve">Cumulative Data Store subscribers  (Bear)</t>
  </si>
  <si>
    <t xml:space="preserve">DATA STORE  ·  product-led, self-serve — the step-function candidate for Base/Bull</t>
  </si>
  <si>
    <t xml:space="preserve">Productized access to the same underlying benchmark asset — API/self-serve, not enterprise-sales-led. Reaches regional brokers, smaller PE shops, researchers without proportional sales headcount. Bear stays at 0 by design.</t>
  </si>
  <si>
    <t xml:space="preserve">New subscribers/year  (Bear/Base/Bull)</t>
  </si>
  <si>
    <t xml:space="preserve">New subscribers  (active scenario)</t>
  </si>
  <si>
    <t xml:space="preserve">Avg annual value per subscriber</t>
  </si>
  <si>
    <t xml:space="preserve">Subscriber retention  (self-serve — higher churn than core)</t>
  </si>
  <si>
    <t xml:space="preserve">Beginning subscribers  (active scenario)</t>
  </si>
  <si>
    <t xml:space="preserve">Retained subscribers</t>
  </si>
  <si>
    <t xml:space="preserve">New subscribers</t>
  </si>
  <si>
    <t xml:space="preserve">Ending subscribers</t>
  </si>
  <si>
    <t xml:space="preserve">Data Store revenue  (active scenario)</t>
  </si>
  <si>
    <t xml:space="preserve">BASE — FIXED CALCULATION  ·  not toggle-dependent, wired into Scenarios</t>
  </si>
  <si>
    <t xml:space="preserve">BD reps  (Base)</t>
  </si>
  <si>
    <t xml:space="preserve">Enterprise reps  (Base)</t>
  </si>
  <si>
    <t xml:space="preserve">VP Sales  (Base)</t>
  </si>
  <si>
    <t xml:space="preserve">New-client capacity  (Base)</t>
  </si>
  <si>
    <t xml:space="preserve">Applicable retention  (Base)</t>
  </si>
  <si>
    <t xml:space="preserve">Beginning clients  (Base)</t>
  </si>
  <si>
    <t xml:space="preserve">Retained clients  (Base)</t>
  </si>
  <si>
    <t xml:space="preserve">New clients this year  (Base)</t>
  </si>
  <si>
    <t xml:space="preserve">Ending clients  (Base)</t>
  </si>
  <si>
    <t xml:space="preserve">Direct revenue  (Base)</t>
  </si>
  <si>
    <t xml:space="preserve">Cumulative channel partners  (Base)</t>
  </si>
  <si>
    <t xml:space="preserve">Channel revenue  (Base)</t>
  </si>
  <si>
    <t xml:space="preserve">Cumulative data/ratings customers  (Base)</t>
  </si>
  <si>
    <t xml:space="preserve">Data/Ratings revenue  (Base)</t>
  </si>
  <si>
    <t xml:space="preserve">Expansion revenue  (Base)</t>
  </si>
  <si>
    <t xml:space="preserve">Cumulative Data Store subscribers  (Base)</t>
  </si>
  <si>
    <t xml:space="preserve">Data Store revenue  (Base)</t>
  </si>
  <si>
    <t xml:space="preserve">TOTAL BASE REVENUE  (fixed)</t>
  </si>
  <si>
    <t xml:space="preserve">BULL — FIXED CALCULATION  ·  not toggle-dependent, wired into Scenarios</t>
  </si>
  <si>
    <t xml:space="preserve">BD reps  (Bull)</t>
  </si>
  <si>
    <t xml:space="preserve">Enterprise reps  (Bull)</t>
  </si>
  <si>
    <t xml:space="preserve">VP Sales  (Bull)</t>
  </si>
  <si>
    <t xml:space="preserve">New-client capacity  (Bull)</t>
  </si>
  <si>
    <t xml:space="preserve">Applicable retention  (Bull)</t>
  </si>
  <si>
    <t xml:space="preserve">Beginning clients  (Bull)</t>
  </si>
  <si>
    <t xml:space="preserve">Retained clients  (Bull)</t>
  </si>
  <si>
    <t xml:space="preserve">New clients this year  (Bull)</t>
  </si>
  <si>
    <t xml:space="preserve">Ending clients  (Bull)</t>
  </si>
  <si>
    <t xml:space="preserve">Direct revenue  (Bull)</t>
  </si>
  <si>
    <t xml:space="preserve">Cumulative channel partners  (Bull)</t>
  </si>
  <si>
    <t xml:space="preserve">Channel revenue  (Bull)</t>
  </si>
  <si>
    <t xml:space="preserve">Cumulative data/ratings customers  (Bull)</t>
  </si>
  <si>
    <t xml:space="preserve">Data/Ratings revenue  (Bull)</t>
  </si>
  <si>
    <t xml:space="preserve">Expansion revenue  (Bull)</t>
  </si>
  <si>
    <t xml:space="preserve">Cumulative Data Store subscribers  (Bull)</t>
  </si>
  <si>
    <t xml:space="preserve">Data Store revenue  (Bull)</t>
  </si>
  <si>
    <t xml:space="preserve">TOTAL BULL REVENUE  (fixed)</t>
  </si>
  <si>
    <t xml:space="preserve">Staffing Plan — active scenario</t>
  </si>
  <si>
    <t xml:space="preserve">Consolidated across S&amp;M, Product &amp; Data Eng, and G&amp;A. Follows the Control toggle — flip Bear/Base/Bull and this view updates.</t>
  </si>
  <si>
    <t xml:space="preserve">G&amp;A / LEADERSHIP</t>
  </si>
  <si>
    <t xml:space="preserve">Founder / CEO  (headcount)</t>
  </si>
  <si>
    <t xml:space="preserve">  cost</t>
  </si>
  <si>
    <t xml:space="preserve">Executive Assistant  (headcount)</t>
  </si>
  <si>
    <t xml:space="preserve">CFO / Head of Finance  (headcount, Base/Bull only, from Y5)</t>
  </si>
  <si>
    <t xml:space="preserve">Delivery analysts  (COGS)</t>
  </si>
  <si>
    <t xml:space="preserve">SALES &amp; MARKETING</t>
  </si>
  <si>
    <t xml:space="preserve">BD / channel reps</t>
  </si>
  <si>
    <t xml:space="preserve">Enterprise sales reps</t>
  </si>
  <si>
    <t xml:space="preserve">VP Sales / Growth</t>
  </si>
  <si>
    <t xml:space="preserve">  S&amp;M headcount cost  (excl. marketing program $)</t>
  </si>
  <si>
    <t xml:space="preserve">CS analysts  (COGS)</t>
  </si>
  <si>
    <t xml:space="preserve">PRODUCT &amp; DATA ENGINEERING</t>
  </si>
  <si>
    <t xml:space="preserve">Engineers / data scientists</t>
  </si>
  <si>
    <t xml:space="preserve">Head of Product / CTO</t>
  </si>
  <si>
    <t xml:space="preserve">  Product/Eng headcount cost</t>
  </si>
  <si>
    <t xml:space="preserve">Channel &amp; Data Store dev</t>
  </si>
  <si>
    <t xml:space="preserve">TOTALS</t>
  </si>
  <si>
    <t xml:space="preserve">Total headcount</t>
  </si>
  <si>
    <t xml:space="preserve">Total loaded labor cost</t>
  </si>
  <si>
    <t xml:space="preserve">  memo: labor as % of Total operating expense</t>
  </si>
  <si>
    <t xml:space="preserve">Sales &amp; Marketing — Build-Up</t>
  </si>
  <si>
    <t xml:space="preserve">Headcount x loaded comp, plus marketing &amp; channel program spend. Blue = input. Supersedes the earlier flat allocation.</t>
  </si>
  <si>
    <t xml:space="preserve">RATES  (loaded annual comp)</t>
  </si>
  <si>
    <t xml:space="preserve">BD / channel rep</t>
  </si>
  <si>
    <t xml:space="preserve">Enterprise sales rep  (Bull rate)</t>
  </si>
  <si>
    <t xml:space="preserve">VP Sales / Growth  (Base)</t>
  </si>
  <si>
    <t xml:space="preserve">VP Sales / Growth  (Bull)</t>
  </si>
  <si>
    <t xml:space="preserve">BEAR</t>
  </si>
  <si>
    <t xml:space="preserve">Marketing &amp; channel $</t>
  </si>
  <si>
    <t xml:space="preserve">Total S&amp;M</t>
  </si>
  <si>
    <t xml:space="preserve">BASE</t>
  </si>
  <si>
    <t xml:space="preserve">BULL</t>
  </si>
  <si>
    <t xml:space="preserve">CUSTOMER SUCCESS  ·  MOVED TO COGS — see COGS &amp; Overhead Build</t>
  </si>
  <si>
    <t xml:space="preserve">CS analysts  (headcount — now costed in COGS)</t>
  </si>
  <si>
    <t xml:space="preserve">CS rep rate  (loaded)</t>
  </si>
  <si>
    <t xml:space="preserve">CS cost</t>
  </si>
  <si>
    <t xml:space="preserve">Product, Data Engineering &amp; Authority — Build-Up</t>
  </si>
  <si>
    <t xml:space="preserve">Engineering/data headcount plus external data acquisition &amp; methodology validation spend — the moat line. All expensed as incurred.</t>
  </si>
  <si>
    <t xml:space="preserve">Engineer / data scientist  (Bear, Base)</t>
  </si>
  <si>
    <t xml:space="preserve">Engineer / data scientist  (Bull rate)</t>
  </si>
  <si>
    <t xml:space="preserve">Head of Product / Data  (Base)</t>
  </si>
  <si>
    <t xml:space="preserve">Head of Product / CTO  (Bull)</t>
  </si>
  <si>
    <t xml:space="preserve">Head of Product</t>
  </si>
  <si>
    <t xml:space="preserve">Data acquisition &amp; authority $</t>
  </si>
  <si>
    <t xml:space="preserve">Total Product &amp; Data Eng</t>
  </si>
  <si>
    <t xml:space="preserve">CHANNEL &amp; DATA STORE DEVELOPMENT  ·  the investment behind the new revenue engines — was missing</t>
  </si>
  <si>
    <t xml:space="preserve">Rate  (loaded, senior partnerships/product hire)</t>
  </si>
  <si>
    <t xml:space="preserve">G&amp;A &amp; Executive Compensation — Build-Up</t>
  </si>
  <si>
    <t xml:space="preserve">Founder/CEO and CFO pay shown on their own line for transparency, benchmarked against 2026 stage data. Other G&amp;A below.</t>
  </si>
  <si>
    <t xml:space="preserve">FOUNDER / CEO COMPENSATION  ·  benchmarked against market</t>
  </si>
  <si>
    <t xml:space="preserve">Founder/CEO salary — Bear</t>
  </si>
  <si>
    <t xml:space="preserve">Founder/CEO salary — Base</t>
  </si>
  <si>
    <t xml:space="preserve">Founder/CEO salary — Bull</t>
  </si>
  <si>
    <t xml:space="preserve">Actual current total comp  (WIN, today)</t>
  </si>
  <si>
    <t xml:space="preserve">Market value — full experience profile  (low / high)</t>
  </si>
  <si>
    <t xml:space="preserve">  midpoint</t>
  </si>
  <si>
    <t xml:space="preserve">Cumulative sweat-equity, Y1-7  (low - high range)</t>
  </si>
  <si>
    <t xml:space="preserve">No cash bonus. Value that would otherwise be an escalating salary or bonus is proposed as equity instead — a defined vesting grant tied to the Year-3 milestone, to be sized with the board once option-pool terms are set. This keeps cash burn flat and predictable while preserving upside alignment.</t>
  </si>
  <si>
    <t xml:space="preserve">CFO / HEAD OF FINANCE  ·  Base &amp; Bull only, hired Year 5</t>
  </si>
  <si>
    <t xml:space="preserve">CFO salary — Base</t>
  </si>
  <si>
    <t xml:space="preserve">CFO salary — Bull</t>
  </si>
  <si>
    <t xml:space="preserve">OTHER G&amp;A  ·  legal, finance/accounting, insurance, tools, admin</t>
  </si>
  <si>
    <t xml:space="preserve">Other G&amp;A — Bear</t>
  </si>
  <si>
    <t xml:space="preserve">Other G&amp;A — Base</t>
  </si>
  <si>
    <t xml:space="preserve">Other G&amp;A — Bull</t>
  </si>
  <si>
    <t xml:space="preserve">TOTAL G&amp;A  ·  Founder + CFO + Other G&amp;A, by scenario</t>
  </si>
  <si>
    <t xml:space="preserve">Total G&amp;A — Bear</t>
  </si>
  <si>
    <t xml:space="preserve">Total G&amp;A — Base</t>
  </si>
  <si>
    <t xml:space="preserve">Total G&amp;A — Bull</t>
  </si>
  <si>
    <t xml:space="preserve">EXECUTIVE ASSISTANT  ·  hired Year 1 — expense management, planning, scheduling</t>
  </si>
  <si>
    <t xml:space="preserve">EA salary  (loaded, all scenarios)</t>
  </si>
  <si>
    <t xml:space="preserve">Founder salary as % of Year-1 revenue</t>
  </si>
  <si>
    <t xml:space="preserve">Cumulative founder salary, Years 1-3</t>
  </si>
  <si>
    <t xml:space="preserve">Cumulative Y1-3 founder salary as % of the $1M seed raise</t>
  </si>
  <si>
    <t xml:space="preserve">A seed investor doing diligence will run exactly this ratio. It's a real, fair question to be ready for — the honest answer is: no cash bonus, the excess converts to equity, and $250K is still a genuine cut from Tom's current $400K. Revenue funds a growing share of it from Year 2 onward, not the raise alone.</t>
  </si>
  <si>
    <t xml:space="preserve">COGS &amp; Overhead — Year 1 / Year 2 Build-Up</t>
  </si>
  <si>
    <t xml:space="preserve">Real, itemized numbers replacing the earlier gross-margin assumption and flat G&amp;A placeholder for these two years. Blue = input.</t>
  </si>
  <si>
    <t xml:space="preserve">COST OF GOODS SOLD  ·  delivery-linked, not general overhead</t>
  </si>
  <si>
    <t xml:space="preserve">Claude Enterprise</t>
  </si>
  <si>
    <t xml:space="preserve">Total COGS</t>
  </si>
  <si>
    <t xml:space="preserve">Delivery cost per active client / yr  (SUPERSEDED — replaced by analyst headcount below)</t>
  </si>
  <si>
    <t xml:space="preserve">Implied gross margin at this COGS level</t>
  </si>
  <si>
    <t xml:space="preserve">Years 1-2 only. Gross margin here is high because the founder performs all delivery personally and that compensation sits in G&amp;A (see the classification note below). From Year 3, COGS includes explicit delivery analyst headcount and margin normalizes to the low 80s before improving with operating leverage.</t>
  </si>
  <si>
    <t xml:space="preserve">OTHER G&amp;A  ·  overhead, replaces the earlier flat placeholder</t>
  </si>
  <si>
    <t xml:space="preserve">Office</t>
  </si>
  <si>
    <t xml:space="preserve">Telecom</t>
  </si>
  <si>
    <t xml:space="preserve">Payroll tax burden on founder salary</t>
  </si>
  <si>
    <t xml:space="preserve">Health insurance  (founder + family)</t>
  </si>
  <si>
    <t xml:space="preserve">D&amp;O / E&amp;O / cyber insurance bundle</t>
  </si>
  <si>
    <t xml:space="preserve">Legal  (ongoing, non-fundraising)</t>
  </si>
  <si>
    <t xml:space="preserve">Accounting / bookkeeping</t>
  </si>
  <si>
    <t xml:space="preserve">Software &amp; tools  (non-Claude)</t>
  </si>
  <si>
    <t xml:space="preserve">Corporate / compliance fees</t>
  </si>
  <si>
    <t xml:space="preserve">Travel  (trips/year x avg cost/trip)</t>
  </si>
  <si>
    <t xml:space="preserve">Total Other G&amp;A</t>
  </si>
  <si>
    <t xml:space="preserve">  vs. prior flat placeholder ($35K / $80K)</t>
  </si>
  <si>
    <t xml:space="preserve">CAPITALIZED EQUIPMENT  ·  not a P&amp;L expense, depreciated over 3 years</t>
  </si>
  <si>
    <t xml:space="preserve">Computers</t>
  </si>
  <si>
    <t xml:space="preserve">Total capitalized equipment</t>
  </si>
  <si>
    <t xml:space="preserve">Travel assumptions</t>
  </si>
  <si>
    <t xml:space="preserve">  trips per year</t>
  </si>
  <si>
    <t xml:space="preserve">  avg cost per trip  (flight/drive + meals + ground transport)</t>
  </si>
  <si>
    <t xml:space="preserve">Clients per CS analyst  (relationship coverage)</t>
  </si>
  <si>
    <t xml:space="preserve">Loaded comp per CS analyst</t>
  </si>
  <si>
    <t xml:space="preserve">DELIVERY ANALYSTS  ·  the COGS headcount — replaces the per-client allowance</t>
  </si>
  <si>
    <t xml:space="preserve">These are the people who run the Research Agent, review and contextualize output, and deliver to clients. Their cost scales with client count, which is what makes them COGS rather than R&amp;D. Previously this was an implicit $9,000/client allowance with no headcount behind it — an investor would have asked who actually produces the reports.</t>
  </si>
  <si>
    <t xml:space="preserve">Active Direct clients</t>
  </si>
  <si>
    <t xml:space="preserve">Clients per delivery analyst  (operating leverage)</t>
  </si>
  <si>
    <t xml:space="preserve">Delivery analysts required</t>
  </si>
  <si>
    <t xml:space="preserve">Loaded comp per delivery analyst</t>
  </si>
  <si>
    <t xml:space="preserve">Delivery analyst cost</t>
  </si>
  <si>
    <t xml:space="preserve">CS analysts  (relocated from S&amp;M — client-facing delivery)</t>
  </si>
  <si>
    <t xml:space="preserve">TOTAL COGS  (all years)</t>
  </si>
  <si>
    <t xml:space="preserve">Implied gross margin</t>
  </si>
  <si>
    <t xml:space="preserve">NOTE ON FOUNDER COMPENSATION  ·  classification</t>
  </si>
  <si>
    <t xml:space="preserve">In Years 1-2 the founder personally performs delivery, sales, and engineering. Strictly, that compensation spans COGS, S&amp;M, and R&amp;D. It is deliberately held entirely in G&amp;A rather than allocated across the three.
Reasoning: any allocation percentage would be arbitrary and would shift every year as roles are handed off — producing movement in gross margin that looks like operational change but is only an allocation assumption moving. Holding it in G&amp;A keeps the margin trend clean and driven by the delivery-analyst leverage ratio above, which is the assumption that actually matters. An investor who prefers a different treatment can reallocate from a single, clearly-labeled line rather than unpick a blended one.
Practical effect: Years 1-2 gross margin is high because delivery labor is not in COGS. From Year 3, as analysts are hired and the founder moves out of delivery, COGS reflects the real cost of service and the margin normalizes.</t>
  </si>
  <si>
    <t xml:space="preserve">ANALYST INCENTIVE COMPENSATION  ·  performance bonus pool</t>
  </si>
  <si>
    <t xml:space="preserve">Delivery and CS analysts are the product at scale. This models a target bonus as a % of base, funded in COGS alongside the salary it sits on top of. Design intent: reward retention and quality, create real individual control over earnings, and let sustained underperformance self-select out.</t>
  </si>
  <si>
    <t xml:space="preserve">Target bonus  (% of base)</t>
  </si>
  <si>
    <t xml:space="preserve">Analysts in bonus scope  (delivery + CS)</t>
  </si>
  <si>
    <t xml:space="preserve">Blended base in scope</t>
  </si>
  <si>
    <t xml:space="preserve">Bonus pool  (target)</t>
  </si>
  <si>
    <t xml:space="preserve">BONUS WEIGHTING  ·  what analysts are actually paid on</t>
  </si>
  <si>
    <t xml:space="preserve">Weight</t>
  </si>
  <si>
    <t xml:space="preserve">Rationale</t>
  </si>
  <si>
    <t xml:space="preserve">Book retention  (renewal of assigned clients)</t>
  </si>
  <si>
    <t xml:space="preserve">Directly attributable, individually controllable, and the metric that compounds Axionia's economics. The primary lever.</t>
  </si>
  <si>
    <t xml:space="preserve">Quality / client satisfaction</t>
  </si>
  <si>
    <t xml:space="preserve">Structured client feedback plus internal review of analytic rigor. Guards against retention being bought with over-servicing.</t>
  </si>
  <si>
    <t xml:space="preserve">Contribution  (manager-assessed)</t>
  </si>
  <si>
    <t xml:space="preserve">Mentoring, methodology improvement, and surfacing expansion opportunities. Deliberately qualitative — see the note below on why this is not a formula.</t>
  </si>
  <si>
    <t xml:space="preserve">  check — must total 100%</t>
  </si>
  <si>
    <t xml:space="preserve">DESIGN NOTES  ·  two deliberate exclusions</t>
  </si>
  <si>
    <t xml:space="preserve">NOT paid on lead generation or expansion revenue. Axionia's product is independent, unbiased analysis. An analyst whose bonus depends on generating more engagement has a financial interest in finding problems that justify it — structurally the same conflict Axionia exists to critique in brokers. A sophisticated buyer will ask how analysts are compensated, and 'partly on generating more work' is a damaging answer. Opportunity-surfacing is therefore a qualitative factor inside the manager-assessed component, not a formulaic payout.</t>
  </si>
  <si>
    <t xml:space="preserve">NOT a utilization model. Utilization works in professional services because billable hours ARE the revenue. Axionia is subscription-based, so utilization would measure how busy an analyst is, not how much value they create — and optimizing for it would push analysts toward carrying more clients rather than serving them well, directly against the retention this plan pays for. The up-or-out dynamic transfers; the utilization metric does not.</t>
  </si>
  <si>
    <t xml:space="preserve">YEAR 7 COGS BY SCENARIO  ·  fixed calculation, not toggle-dependent — wired into Exit &amp; Return</t>
  </si>
  <si>
    <t xml:space="preserve">The Exit tab needs all three scenarios at once, so it cannot read the toggle-driven COGS line above. This block applies the SAME unit assumptions used in rows 55-73 (clients per delivery analyst, clients per CS analyst, loaded comp, bonus rate) to each scenario's own Year-7 ending client count from the Revenue Build. Base here reproduces the P&amp;L Year-7 COGS exactly when the toggle is set to Base — that equality is the check that this block has not drifted.</t>
  </si>
  <si>
    <t xml:space="preserve">Year 7 ending Direct clients</t>
  </si>
  <si>
    <t xml:space="preserve">Delivery analysts required  (Year-7 leverage: 20 clients/analyst)</t>
  </si>
  <si>
    <t xml:space="preserve">CS analysts required  (Year-7 coverage: 100 clients/analyst)</t>
  </si>
  <si>
    <t xml:space="preserve">Analyst base cost  (delivery $95K + CS $120K loaded)</t>
  </si>
  <si>
    <t xml:space="preserve">Bonus pool  (18% of base in scope)</t>
  </si>
  <si>
    <t xml:space="preserve">Fixed delivery infrastructure</t>
  </si>
  <si>
    <t xml:space="preserve">TOTAL YEAR 7 COGS</t>
  </si>
  <si>
    <t xml:space="preserve">CHECK — Base must equal the P&amp;L Year-7 COGS when the Control toggle reads Base</t>
  </si>
  <si>
    <t xml:space="preserve">Working Capital &amp; Capex</t>
  </si>
  <si>
    <t xml:space="preserve">Blended assumptions across the revenue mix (subscription-advance + net-terms services/data). Blue = input.</t>
  </si>
  <si>
    <t xml:space="preserve">ASSUMPTIONS</t>
  </si>
  <si>
    <t xml:space="preserve">Days Sales Outstanding (AR)</t>
  </si>
  <si>
    <t xml:space="preserve">Deferred revenue (days of revenue)</t>
  </si>
  <si>
    <t xml:space="preserve">Days Payable Outstanding (AP)</t>
  </si>
  <si>
    <t xml:space="preserve">Capex, % of revenue</t>
  </si>
  <si>
    <t xml:space="preserve">Useful life (years, straight-line)</t>
  </si>
  <si>
    <t xml:space="preserve">Interest rate earned on cash</t>
  </si>
  <si>
    <t xml:space="preserve">Effective tax rate (post-NOL)</t>
  </si>
  <si>
    <t xml:space="preserve">REVENUE &amp; TOTAL COSTS  (active scenario, for WC balances)</t>
  </si>
  <si>
    <t xml:space="preserve">COGS</t>
  </si>
  <si>
    <t xml:space="preserve">Operating expense (pre-D&amp;A)</t>
  </si>
  <si>
    <t xml:space="preserve">Total cash costs  (COGS + Opex)</t>
  </si>
  <si>
    <t xml:space="preserve">WORKING CAPITAL BALANCES  (period-end)</t>
  </si>
  <si>
    <t xml:space="preserve">CAPEX &amp; DEPRECIATION  (3-year straight-line, rolling)</t>
  </si>
  <si>
    <t xml:space="preserve">Capex</t>
  </si>
  <si>
    <t xml:space="preserve">Depreciation</t>
  </si>
  <si>
    <t xml:space="preserve">PP&amp;E, net (end of period)</t>
  </si>
</sst>
</file>

<file path=xl/styles.xml><?xml version="1.0" encoding="utf-8"?>
<styleSheet xmlns="http://schemas.openxmlformats.org/spreadsheetml/2006/main">
  <numFmts count="14">
    <numFmt numFmtId="164" formatCode="General"/>
    <numFmt numFmtId="165" formatCode="General"/>
    <numFmt numFmtId="166" formatCode="\$#,##0;&quot;($&quot;#,##0\);\-"/>
    <numFmt numFmtId="167" formatCode="0.0%"/>
    <numFmt numFmtId="168" formatCode="0.0\x"/>
    <numFmt numFmtId="169" formatCode="0.00%"/>
    <numFmt numFmtId="170" formatCode="0.0000%"/>
    <numFmt numFmtId="171" formatCode="\$#,##0.00;&quot;($&quot;#,##0.00\);\-"/>
    <numFmt numFmtId="172" formatCode="#,##0.0;\(#,##0.0\);\-"/>
    <numFmt numFmtId="173" formatCode="#,##0;\(#,##0\);\-"/>
    <numFmt numFmtId="174" formatCode="#,##0.0"/>
    <numFmt numFmtId="175" formatCode="\$#,##0"/>
    <numFmt numFmtId="176" formatCode="0&quot; days&quot;"/>
    <numFmt numFmtId="177" formatCode="0"/>
  </numFmts>
  <fonts count="35">
    <font>
      <sz val="11"/>
      <color theme="1"/>
      <name val="Calibri"/>
      <family val="2"/>
      <charset val="1"/>
    </font>
    <font>
      <sz val="10"/>
      <name val="Arial"/>
      <family val="0"/>
    </font>
    <font>
      <sz val="10"/>
      <name val="Arial"/>
      <family val="0"/>
    </font>
    <font>
      <sz val="10"/>
      <name val="Arial"/>
      <family val="0"/>
    </font>
    <font>
      <b val="true"/>
      <sz val="16"/>
      <color rgb="FF1C2431"/>
      <name val="Arial"/>
      <family val="0"/>
      <charset val="1"/>
    </font>
    <font>
      <i val="true"/>
      <sz val="9"/>
      <color rgb="FF706C63"/>
      <name val="Arial"/>
      <family val="0"/>
      <charset val="1"/>
    </font>
    <font>
      <b val="true"/>
      <sz val="10"/>
      <color rgb="FFFFFFFF"/>
      <name val="Arial"/>
      <family val="0"/>
      <charset val="1"/>
    </font>
    <font>
      <b val="true"/>
      <sz val="10"/>
      <color rgb="FF000000"/>
      <name val="Arial"/>
      <family val="0"/>
      <charset val="1"/>
    </font>
    <font>
      <b val="true"/>
      <sz val="10"/>
      <color rgb="FF0000FF"/>
      <name val="Arial"/>
      <family val="0"/>
      <charset val="1"/>
    </font>
    <font>
      <sz val="8"/>
      <color rgb="FF706C63"/>
      <name val="Arial"/>
      <family val="0"/>
      <charset val="1"/>
    </font>
    <font>
      <b val="true"/>
      <sz val="9"/>
      <color rgb="FF1C2431"/>
      <name val="Arial"/>
      <family val="0"/>
      <charset val="1"/>
    </font>
    <font>
      <sz val="9"/>
      <color rgb="FF706C63"/>
      <name val="Arial"/>
      <family val="0"/>
      <charset val="1"/>
    </font>
    <font>
      <sz val="10"/>
      <color rgb="FF000000"/>
      <name val="Arial"/>
      <family val="0"/>
      <charset val="1"/>
    </font>
    <font>
      <sz val="10"/>
      <color rgb="FF008000"/>
      <name val="Arial"/>
      <family val="0"/>
      <charset val="1"/>
    </font>
    <font>
      <sz val="9"/>
      <color rgb="FF1C2431"/>
      <name val="Arial"/>
      <family val="0"/>
      <charset val="1"/>
    </font>
    <font>
      <b val="true"/>
      <sz val="10"/>
      <color rgb="FF008000"/>
      <name val="Arial"/>
      <family val="0"/>
      <charset val="1"/>
    </font>
    <font>
      <sz val="10"/>
      <color rgb="FF1C2431"/>
      <name val="Arial"/>
      <family val="0"/>
      <charset val="1"/>
    </font>
    <font>
      <b val="true"/>
      <sz val="11"/>
      <name val="Arial"/>
      <family val="0"/>
      <charset val="1"/>
    </font>
    <font>
      <sz val="11"/>
      <name val="Arial"/>
      <family val="0"/>
      <charset val="1"/>
    </font>
    <font>
      <b val="true"/>
      <sz val="10"/>
      <color rgb="FF1C2431"/>
      <name val="Arial"/>
      <family val="0"/>
      <charset val="1"/>
    </font>
    <font>
      <sz val="10"/>
      <name val="Arial"/>
      <family val="2"/>
    </font>
    <font>
      <sz val="10"/>
      <color rgb="FF706C63"/>
      <name val="Arial"/>
      <family val="0"/>
      <charset val="1"/>
    </font>
    <font>
      <sz val="10"/>
      <color rgb="FF0000FF"/>
      <name val="Arial"/>
      <family val="0"/>
      <charset val="1"/>
    </font>
    <font>
      <sz val="10"/>
      <color rgb="FFAEB4BC"/>
      <name val="Arial"/>
      <family val="0"/>
      <charset val="1"/>
    </font>
    <font>
      <i val="true"/>
      <sz val="9"/>
      <color rgb="FF1C2431"/>
      <name val="Arial"/>
      <family val="0"/>
      <charset val="1"/>
    </font>
    <font>
      <sz val="9"/>
      <color rgb="FF000000"/>
      <name val="Arial"/>
      <family val="0"/>
      <charset val="1"/>
    </font>
    <font>
      <i val="true"/>
      <sz val="10"/>
      <color rgb="FF706C63"/>
      <name val="Arial"/>
      <family val="0"/>
      <charset val="1"/>
    </font>
    <font>
      <sz val="11"/>
      <color rgb="FF008000"/>
      <name val="Arial"/>
      <family val="0"/>
      <charset val="1"/>
    </font>
    <font>
      <i val="true"/>
      <sz val="11"/>
      <color rgb="FF706C63"/>
      <name val="Arial"/>
      <family val="0"/>
      <charset val="1"/>
    </font>
    <font>
      <b val="true"/>
      <sz val="11"/>
      <color rgb="FF000000"/>
      <name val="Arial"/>
      <family val="0"/>
      <charset val="1"/>
    </font>
    <font>
      <i val="true"/>
      <sz val="9"/>
      <color rgb="FF5C3F10"/>
      <name val="Arial"/>
      <family val="0"/>
      <charset val="1"/>
    </font>
    <font>
      <i val="true"/>
      <sz val="11"/>
      <color rgb="FFAEB4BC"/>
      <name val="Arial"/>
      <family val="0"/>
      <charset val="1"/>
    </font>
    <font>
      <i val="true"/>
      <sz val="9"/>
      <color rgb="FFAEB4BC"/>
      <name val="Arial"/>
      <family val="0"/>
      <charset val="1"/>
    </font>
    <font>
      <sz val="11"/>
      <color rgb="FF0000FF"/>
      <name val="Arial"/>
      <family val="0"/>
      <charset val="1"/>
    </font>
    <font>
      <b val="true"/>
      <sz val="9"/>
      <color rgb="FF706C63"/>
      <name val="Arial"/>
      <family val="0"/>
      <charset val="1"/>
    </font>
  </fonts>
  <fills count="8">
    <fill>
      <patternFill patternType="none"/>
    </fill>
    <fill>
      <patternFill patternType="gray125"/>
    </fill>
    <fill>
      <patternFill patternType="solid">
        <fgColor rgb="FF1C2431"/>
        <bgColor rgb="FF003300"/>
      </patternFill>
    </fill>
    <fill>
      <patternFill patternType="solid">
        <fgColor rgb="FFFBF3E6"/>
        <bgColor rgb="FFFCECEA"/>
      </patternFill>
    </fill>
    <fill>
      <patternFill patternType="solid">
        <fgColor rgb="FFF0EDE6"/>
        <bgColor rgb="FFFCECEA"/>
      </patternFill>
    </fill>
    <fill>
      <patternFill patternType="solid">
        <fgColor rgb="FFEAF7EF"/>
        <bgColor rgb="FFEEF3FE"/>
      </patternFill>
    </fill>
    <fill>
      <patternFill patternType="solid">
        <fgColor rgb="FFEEF3FE"/>
        <bgColor rgb="FFEAF7EF"/>
      </patternFill>
    </fill>
    <fill>
      <patternFill patternType="solid">
        <fgColor rgb="FFFCECEA"/>
        <bgColor rgb="FFFBF3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10" fillId="4"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6" fontId="13"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4" fontId="1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7" fontId="13" fillId="0" borderId="0" xfId="0" applyFont="true" applyBorder="false" applyAlignment="true" applyProtection="false">
      <alignment horizontal="right" vertical="center" textRotation="0" wrapText="false" indent="0" shrinkToFit="false"/>
      <protection locked="true" hidden="false"/>
    </xf>
    <xf numFmtId="166" fontId="15" fillId="5" borderId="0" xfId="0" applyFont="true" applyBorder="false" applyAlignment="true" applyProtection="false">
      <alignment horizontal="right" vertical="center" textRotation="0" wrapText="false" indent="0" shrinkToFit="false"/>
      <protection locked="true" hidden="false"/>
    </xf>
    <xf numFmtId="166" fontId="15" fillId="6" borderId="0" xfId="0" applyFont="true" applyBorder="false" applyAlignment="true" applyProtection="false">
      <alignment horizontal="right" vertical="center" textRotation="0" wrapText="false" indent="0" shrinkToFit="false"/>
      <protection locked="true" hidden="false"/>
    </xf>
    <xf numFmtId="164" fontId="7" fillId="4" borderId="0" xfId="0" applyFont="true" applyBorder="false" applyAlignment="true" applyProtection="false">
      <alignment horizontal="right" vertical="center" textRotation="0" wrapText="false" indent="0" shrinkToFit="false"/>
      <protection locked="true" hidden="false"/>
    </xf>
    <xf numFmtId="166" fontId="12" fillId="0" borderId="0" xfId="0" applyFont="true" applyBorder="false" applyAlignment="true" applyProtection="false">
      <alignment horizontal="right" vertical="center" textRotation="0" wrapText="false" indent="0" shrinkToFit="false"/>
      <protection locked="true" hidden="false"/>
    </xf>
    <xf numFmtId="167" fontId="12" fillId="0" borderId="0" xfId="0" applyFont="true" applyBorder="fals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general" vertical="center" textRotation="0" wrapText="true" indent="0" shrinkToFit="false"/>
      <protection locked="true" hidden="false"/>
    </xf>
    <xf numFmtId="166" fontId="7" fillId="0" borderId="0" xfId="0" applyFont="true" applyBorder="false" applyAlignment="true" applyProtection="false">
      <alignment horizontal="right" vertical="center" textRotation="0" wrapText="false" indent="0" shrinkToFit="false"/>
      <protection locked="true" hidden="false"/>
    </xf>
    <xf numFmtId="166" fontId="7" fillId="5" borderId="0" xfId="0" applyFont="true" applyBorder="false" applyAlignment="true" applyProtection="false">
      <alignment horizontal="right" vertical="center" textRotation="0" wrapText="false" indent="0" shrinkToFit="false"/>
      <protection locked="true" hidden="false"/>
    </xf>
    <xf numFmtId="166" fontId="7" fillId="6"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17" fillId="4" borderId="0" xfId="0" applyFont="true" applyBorder="false" applyAlignment="true" applyProtection="false">
      <alignment horizontal="left" vertical="center" textRotation="0" wrapText="false" indent="0" shrinkToFit="false"/>
      <protection locked="true" hidden="false"/>
    </xf>
    <xf numFmtId="164" fontId="17" fillId="4"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17" fillId="5" borderId="0" xfId="0" applyFont="true" applyBorder="false" applyAlignment="true" applyProtection="false">
      <alignment horizontal="right" vertical="center" textRotation="0" wrapText="false" indent="0" shrinkToFit="false"/>
      <protection locked="true" hidden="false"/>
    </xf>
    <xf numFmtId="164" fontId="18" fillId="7"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7" fillId="4" borderId="0" xfId="0" applyFont="true" applyBorder="true" applyAlignment="true" applyProtection="false">
      <alignment horizontal="left" vertical="center" textRotation="0" wrapText="false" indent="0" shrinkToFit="false"/>
      <protection locked="true" hidden="false"/>
    </xf>
    <xf numFmtId="164" fontId="19" fillId="3"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right" vertical="center" textRotation="0" wrapText="false" indent="0" shrinkToFit="false"/>
      <protection locked="true" hidden="false"/>
    </xf>
    <xf numFmtId="167" fontId="5"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right" vertical="center" textRotation="0" wrapText="false" indent="0" shrinkToFit="false"/>
      <protection locked="true" hidden="false"/>
    </xf>
    <xf numFmtId="166" fontId="22" fillId="0" borderId="0" xfId="0" applyFont="true" applyBorder="false" applyAlignment="true" applyProtection="false">
      <alignment horizontal="right" vertical="center" textRotation="0" wrapText="false" indent="0" shrinkToFit="false"/>
      <protection locked="true" hidden="false"/>
    </xf>
    <xf numFmtId="167" fontId="7" fillId="5" borderId="0" xfId="0" applyFont="true" applyBorder="false" applyAlignment="true" applyProtection="false">
      <alignment horizontal="right" vertical="center" textRotation="0" wrapText="false" indent="0" shrinkToFit="false"/>
      <protection locked="true" hidden="false"/>
    </xf>
    <xf numFmtId="167" fontId="7" fillId="3" borderId="0" xfId="0" applyFont="true" applyBorder="false" applyAlignment="true" applyProtection="false">
      <alignment horizontal="right" vertical="center" textRotation="0" wrapText="false" indent="0" shrinkToFit="false"/>
      <protection locked="true" hidden="false"/>
    </xf>
    <xf numFmtId="167" fontId="7" fillId="6" borderId="0" xfId="0" applyFont="true" applyBorder="false" applyAlignment="true" applyProtection="false">
      <alignment horizontal="right" vertical="center" textRotation="0" wrapText="false" indent="0" shrinkToFit="false"/>
      <protection locked="true" hidden="false"/>
    </xf>
    <xf numFmtId="167" fontId="22" fillId="0" borderId="0" xfId="0" applyFont="true" applyBorder="false" applyAlignment="true" applyProtection="false">
      <alignment horizontal="right" vertical="center" textRotation="0" wrapText="false" indent="0" shrinkToFit="false"/>
      <protection locked="true" hidden="false"/>
    </xf>
    <xf numFmtId="167" fontId="23" fillId="0" borderId="0" xfId="0" applyFont="true" applyBorder="false" applyAlignment="true" applyProtection="false">
      <alignment horizontal="right" vertical="center" textRotation="0" wrapText="false" indent="0" shrinkToFit="false"/>
      <protection locked="true" hidden="false"/>
    </xf>
    <xf numFmtId="169" fontId="9" fillId="0" borderId="0" xfId="0" applyFont="true" applyBorder="false" applyAlignment="true" applyProtection="false">
      <alignment horizontal="right" vertical="center" textRotation="0" wrapText="false" indent="0" shrinkToFit="false"/>
      <protection locked="true" hidden="false"/>
    </xf>
    <xf numFmtId="169" fontId="12" fillId="0" borderId="0" xfId="0" applyFont="true" applyBorder="false" applyAlignment="true" applyProtection="false">
      <alignment horizontal="right" vertical="center" textRotation="0" wrapText="false" indent="0" shrinkToFit="false"/>
      <protection locked="true" hidden="false"/>
    </xf>
    <xf numFmtId="169" fontId="12" fillId="5" borderId="0" xfId="0" applyFont="true" applyBorder="fals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right"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right" vertical="center" textRotation="0" wrapText="false" indent="0" shrinkToFit="false"/>
      <protection locked="true" hidden="false"/>
    </xf>
    <xf numFmtId="170" fontId="5" fillId="0" borderId="0" xfId="0" applyFont="true" applyBorder="false" applyAlignment="true" applyProtection="false">
      <alignment horizontal="right" vertical="center" textRotation="0" wrapText="false" indent="0" shrinkToFit="false"/>
      <protection locked="true" hidden="false"/>
    </xf>
    <xf numFmtId="168" fontId="22" fillId="0" borderId="0" xfId="0" applyFont="true" applyBorder="false" applyAlignment="true" applyProtection="false">
      <alignment horizontal="right"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26" fillId="0" borderId="0" xfId="0" applyFont="true" applyBorder="false" applyAlignment="true" applyProtection="false">
      <alignment horizontal="right" vertical="center" textRotation="0" wrapText="false" indent="0" shrinkToFit="false"/>
      <protection locked="true" hidden="false"/>
    </xf>
    <xf numFmtId="167" fontId="27" fillId="0" borderId="0" xfId="0" applyFont="true" applyBorder="false" applyAlignment="true" applyProtection="false">
      <alignment horizontal="right" vertical="center" textRotation="0" wrapText="false" indent="0" shrinkToFit="false"/>
      <protection locked="true" hidden="false"/>
    </xf>
    <xf numFmtId="164" fontId="28" fillId="0" borderId="0" xfId="0" applyFont="true" applyBorder="false" applyAlignment="true" applyProtection="false">
      <alignment horizontal="right" vertical="center" textRotation="0" wrapText="false" indent="0" shrinkToFit="false"/>
      <protection locked="true" hidden="false"/>
    </xf>
    <xf numFmtId="166" fontId="15" fillId="0" borderId="0" xfId="0" applyFont="true" applyBorder="false" applyAlignment="true" applyProtection="false">
      <alignment horizontal="right" vertical="center" textRotation="0" wrapText="false" indent="0" shrinkToFit="false"/>
      <protection locked="true" hidden="false"/>
    </xf>
    <xf numFmtId="166" fontId="7" fillId="4" borderId="0" xfId="0" applyFont="true" applyBorder="false" applyAlignment="true" applyProtection="false">
      <alignment horizontal="right"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6" fontId="29" fillId="6" borderId="0" xfId="0" applyFont="true" applyBorder="false" applyAlignment="true" applyProtection="false">
      <alignment horizontal="right" vertical="center" textRotation="0" wrapText="false" indent="0" shrinkToFit="false"/>
      <protection locked="true" hidden="false"/>
    </xf>
    <xf numFmtId="166" fontId="29" fillId="5" borderId="0" xfId="0" applyFont="true" applyBorder="false" applyAlignment="true" applyProtection="false">
      <alignment horizontal="right" vertical="center" textRotation="0" wrapText="false" indent="0" shrinkToFit="false"/>
      <protection locked="true" hidden="false"/>
    </xf>
    <xf numFmtId="164" fontId="30" fillId="0" borderId="0" xfId="0" applyFont="true" applyBorder="true" applyAlignment="true" applyProtection="false">
      <alignment horizontal="general" vertical="center" textRotation="0" wrapText="false" indent="0" shrinkToFit="false"/>
      <protection locked="true" hidden="false"/>
    </xf>
    <xf numFmtId="171" fontId="5" fillId="0" borderId="0" xfId="0" applyFont="true" applyBorder="false" applyAlignment="true" applyProtection="false">
      <alignment horizontal="right" vertical="center" textRotation="0" wrapText="false" indent="0" shrinkToFit="false"/>
      <protection locked="true" hidden="false"/>
    </xf>
    <xf numFmtId="164" fontId="31" fillId="0" borderId="0" xfId="0" applyFont="true" applyBorder="false" applyAlignment="true" applyProtection="false">
      <alignment horizontal="general" vertical="center" textRotation="0" wrapText="false" indent="0" shrinkToFit="false"/>
      <protection locked="true" hidden="false"/>
    </xf>
    <xf numFmtId="166" fontId="31" fillId="0" borderId="0" xfId="0" applyFont="true" applyBorder="false" applyAlignment="true" applyProtection="false">
      <alignment horizontal="right" vertical="center"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72" fontId="22" fillId="0" borderId="0" xfId="0" applyFont="true" applyBorder="false" applyAlignment="true" applyProtection="false">
      <alignment horizontal="right" vertical="center" textRotation="0" wrapText="false" indent="0" shrinkToFit="false"/>
      <protection locked="true" hidden="false"/>
    </xf>
    <xf numFmtId="172" fontId="5" fillId="3" borderId="0" xfId="0" applyFont="true" applyBorder="false" applyAlignment="true" applyProtection="false">
      <alignment horizontal="right" vertical="center" textRotation="0" wrapText="false" indent="0" shrinkToFit="false"/>
      <protection locked="true" hidden="false"/>
    </xf>
    <xf numFmtId="173" fontId="22" fillId="0" borderId="0" xfId="0" applyFont="true" applyBorder="false" applyAlignment="true" applyProtection="false">
      <alignment horizontal="right" vertical="center" textRotation="0" wrapText="false" indent="0" shrinkToFit="false"/>
      <protection locked="true" hidden="false"/>
    </xf>
    <xf numFmtId="173" fontId="13" fillId="0" borderId="0" xfId="0" applyFont="true" applyBorder="false" applyAlignment="true" applyProtection="false">
      <alignment horizontal="right" vertical="center" textRotation="0" wrapText="false" indent="0" shrinkToFit="false"/>
      <protection locked="true" hidden="false"/>
    </xf>
    <xf numFmtId="172" fontId="7" fillId="6" borderId="0" xfId="0" applyFont="true" applyBorder="false" applyAlignment="true" applyProtection="false">
      <alignment horizontal="right" vertical="center" textRotation="0" wrapText="false" indent="0" shrinkToFit="false"/>
      <protection locked="true" hidden="false"/>
    </xf>
    <xf numFmtId="172" fontId="12" fillId="0" borderId="0" xfId="0" applyFont="true" applyBorder="false" applyAlignment="true" applyProtection="false">
      <alignment horizontal="right" vertical="center" textRotation="0" wrapText="false" indent="0" shrinkToFit="false"/>
      <protection locked="true" hidden="false"/>
    </xf>
    <xf numFmtId="166" fontId="7" fillId="7" borderId="0" xfId="0" applyFont="true" applyBorder="false" applyAlignment="true" applyProtection="false">
      <alignment horizontal="right" vertical="center" textRotation="0" wrapText="false" indent="0" shrinkToFit="false"/>
      <protection locked="true" hidden="false"/>
    </xf>
    <xf numFmtId="172" fontId="7" fillId="0" borderId="0" xfId="0" applyFont="true" applyBorder="false" applyAlignment="true" applyProtection="false">
      <alignment horizontal="right" vertical="center" textRotation="0" wrapText="false" indent="0" shrinkToFit="false"/>
      <protection locked="true" hidden="false"/>
    </xf>
    <xf numFmtId="172" fontId="5" fillId="0" borderId="0" xfId="0" applyFont="true" applyBorder="false" applyAlignment="true" applyProtection="false">
      <alignment horizontal="right" vertical="center" textRotation="0" wrapText="false" indent="0" shrinkToFit="false"/>
      <protection locked="true" hidden="false"/>
    </xf>
    <xf numFmtId="172" fontId="7" fillId="3"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4" fontId="5" fillId="0" borderId="0" xfId="0" applyFont="true" applyBorder="false" applyAlignment="true" applyProtection="false">
      <alignment horizontal="right" vertical="center" textRotation="0" wrapText="false" indent="0" shrinkToFit="false"/>
      <protection locked="true" hidden="false"/>
    </xf>
    <xf numFmtId="173" fontId="12" fillId="0" borderId="0" xfId="0" applyFont="true" applyBorder="false" applyAlignment="true" applyProtection="false">
      <alignment horizontal="right" vertical="center" textRotation="0" wrapText="false" indent="0" shrinkToFit="false"/>
      <protection locked="true" hidden="false"/>
    </xf>
    <xf numFmtId="173" fontId="7" fillId="6" borderId="0" xfId="0" applyFont="true" applyBorder="false" applyAlignment="true" applyProtection="false">
      <alignment horizontal="right" vertical="center" textRotation="0" wrapText="false" indent="0"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73" fontId="32" fillId="0" borderId="0" xfId="0" applyFont="true" applyBorder="false" applyAlignment="true" applyProtection="false">
      <alignment horizontal="right" vertical="center" textRotation="0" wrapText="false" indent="0" shrinkToFit="false"/>
      <protection locked="true" hidden="false"/>
    </xf>
    <xf numFmtId="166" fontId="32" fillId="0" borderId="0" xfId="0" applyFont="true" applyBorder="false" applyAlignment="true" applyProtection="false">
      <alignment horizontal="right" vertical="center"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6" fontId="12" fillId="6" borderId="0" xfId="0" applyFont="true" applyBorder="false" applyAlignment="true" applyProtection="false">
      <alignment horizontal="general" vertical="center" textRotation="0" wrapText="false" indent="0" shrinkToFit="false"/>
      <protection locked="true" hidden="false"/>
    </xf>
    <xf numFmtId="166" fontId="33" fillId="0" borderId="0" xfId="0" applyFont="true" applyBorder="false" applyAlignment="true" applyProtection="false">
      <alignment horizontal="right" vertical="center" textRotation="0" wrapText="false" indent="0" shrinkToFit="false"/>
      <protection locked="true" hidden="false"/>
    </xf>
    <xf numFmtId="166" fontId="7" fillId="3" borderId="0" xfId="0" applyFont="true" applyBorder="false" applyAlignment="true" applyProtection="false">
      <alignment horizontal="right" vertical="center" textRotation="0" wrapText="false" indent="0" shrinkToFit="false"/>
      <protection locked="true" hidden="false"/>
    </xf>
    <xf numFmtId="175" fontId="32" fillId="0" borderId="0" xfId="0" applyFont="true" applyBorder="false" applyAlignment="true" applyProtection="false">
      <alignment horizontal="right" vertical="center" textRotation="0" wrapText="false" indent="0" shrinkToFit="false"/>
      <protection locked="true" hidden="false"/>
    </xf>
    <xf numFmtId="166" fontId="27" fillId="0" borderId="0" xfId="0" applyFont="true" applyBorder="false" applyAlignment="true" applyProtection="false">
      <alignment horizontal="right"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72" fontId="13" fillId="0" borderId="0" xfId="0" applyFont="true" applyBorder="false" applyAlignment="true" applyProtection="false">
      <alignment horizontal="right" vertical="center" textRotation="0" wrapText="fals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76" fontId="22" fillId="0" borderId="0" xfId="0" applyFont="true" applyBorder="false" applyAlignment="true" applyProtection="false">
      <alignment horizontal="right" vertical="center" textRotation="0" wrapText="false" indent="0" shrinkToFit="false"/>
      <protection locked="true" hidden="false"/>
    </xf>
    <xf numFmtId="177" fontId="22"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EB4BC"/>
      <rgbColor rgb="FF808080"/>
      <rgbColor rgb="FF9999FF"/>
      <rgbColor rgb="FF993366"/>
      <rgbColor rgb="FFFBF3E6"/>
      <rgbColor rgb="FFEAF7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F3FE"/>
      <rgbColor rgb="FFF0EDE6"/>
      <rgbColor rgb="FFFCECEA"/>
      <rgbColor rgb="FF99CCFF"/>
      <rgbColor rgb="FFFF99CC"/>
      <rgbColor rgb="FFCC99FF"/>
      <rgbColor rgb="FFFFCC99"/>
      <rgbColor rgb="FF3366FF"/>
      <rgbColor rgb="FF33CCCC"/>
      <rgbColor rgb="FF99CC00"/>
      <rgbColor rgb="FFFFCC00"/>
      <rgbColor rgb="FFFF9900"/>
      <rgbColor rgb="FFFF6600"/>
      <rgbColor rgb="FF706C63"/>
      <rgbColor rgb="FF969696"/>
      <rgbColor rgb="FF003366"/>
      <rgbColor rgb="FF339966"/>
      <rgbColor rgb="FF003300"/>
      <rgbColor rgb="FF5C3F10"/>
      <rgbColor rgb="FF993300"/>
      <rgbColor rgb="FF993366"/>
      <rgbColor rgb="FF333399"/>
      <rgbColor rgb="FF1C243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4.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5.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6.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7.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8.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9.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0.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1.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9" min="3" style="1" width="13"/>
  </cols>
  <sheetData>
    <row r="1" customFormat="false" ht="19.5" hidden="false" customHeight="true" outlineLevel="0" collapsed="false">
      <c r="B1" s="2" t="s">
        <v>0</v>
      </c>
      <c r="C1" s="2"/>
      <c r="D1" s="2"/>
      <c r="E1" s="2"/>
      <c r="F1" s="2"/>
      <c r="G1" s="2"/>
      <c r="H1" s="2"/>
      <c r="I1" s="2"/>
    </row>
    <row r="2" customFormat="false" ht="15" hidden="false" customHeight="true" outlineLevel="0" collapsed="false">
      <c r="B2" s="3" t="s">
        <v>1</v>
      </c>
      <c r="C2" s="3"/>
      <c r="D2" s="3"/>
      <c r="E2" s="3"/>
      <c r="F2" s="3"/>
      <c r="G2" s="3"/>
      <c r="H2" s="3"/>
      <c r="I2" s="3"/>
    </row>
    <row r="4" customFormat="false" ht="15" hidden="false" customHeight="true" outlineLevel="0" collapsed="false">
      <c r="B4" s="4" t="s">
        <v>2</v>
      </c>
      <c r="C4" s="4"/>
      <c r="D4" s="4"/>
    </row>
    <row r="5" customFormat="false" ht="15" hidden="false" customHeight="true" outlineLevel="0" collapsed="false">
      <c r="B5" s="5" t="s">
        <v>3</v>
      </c>
      <c r="C5" s="6" t="s">
        <v>4</v>
      </c>
    </row>
    <row r="8" customFormat="false" ht="15" hidden="false" customHeight="true" outlineLevel="0" collapsed="false">
      <c r="B8" s="7" t="s">
        <v>5</v>
      </c>
      <c r="C8" s="8" t="n">
        <f aca="false">MATCH(C5,Scenarios!$B$25:$B$27,0)</f>
        <v>2</v>
      </c>
    </row>
    <row r="10" customFormat="false" ht="15" hidden="false" customHeight="true" outlineLevel="0" collapsed="false">
      <c r="B10" s="4" t="s">
        <v>6</v>
      </c>
      <c r="C10" s="4"/>
      <c r="D10" s="4"/>
      <c r="E10" s="4"/>
    </row>
    <row r="11" customFormat="false" ht="27.75" hidden="false" customHeight="true" outlineLevel="0" collapsed="false">
      <c r="B11" s="9" t="s">
        <v>7</v>
      </c>
      <c r="C11" s="10" t="s">
        <v>8</v>
      </c>
      <c r="D11" s="10"/>
      <c r="E11" s="10"/>
      <c r="F11" s="10"/>
      <c r="G11" s="10"/>
      <c r="H11" s="10"/>
      <c r="I11" s="10"/>
    </row>
    <row r="12" customFormat="false" ht="27.75" hidden="false" customHeight="true" outlineLevel="0" collapsed="false">
      <c r="B12" s="9" t="s">
        <v>4</v>
      </c>
      <c r="C12" s="10" t="s">
        <v>9</v>
      </c>
      <c r="D12" s="10"/>
      <c r="E12" s="10"/>
      <c r="F12" s="10"/>
      <c r="G12" s="10"/>
      <c r="H12" s="10"/>
      <c r="I12" s="10"/>
    </row>
    <row r="13" customFormat="false" ht="27.75" hidden="false" customHeight="true" outlineLevel="0" collapsed="false">
      <c r="B13" s="9" t="s">
        <v>10</v>
      </c>
      <c r="C13" s="10" t="s">
        <v>11</v>
      </c>
      <c r="D13" s="10"/>
      <c r="E13" s="10"/>
      <c r="F13" s="10"/>
      <c r="G13" s="10"/>
      <c r="H13" s="10"/>
      <c r="I13" s="10"/>
    </row>
    <row r="16" customFormat="false" ht="15" hidden="false" customHeight="true" outlineLevel="0" collapsed="false">
      <c r="B16" s="4" t="s">
        <v>12</v>
      </c>
      <c r="C16" s="4"/>
      <c r="D16" s="4"/>
      <c r="E16" s="4"/>
      <c r="F16" s="4"/>
      <c r="G16" s="4"/>
      <c r="H16" s="4"/>
      <c r="I16" s="4"/>
    </row>
    <row r="17" customFormat="false" ht="15" hidden="false" customHeight="true" outlineLevel="0" collapsed="false">
      <c r="B17" s="11"/>
      <c r="C17" s="12" t="s">
        <v>13</v>
      </c>
      <c r="D17" s="12" t="s">
        <v>14</v>
      </c>
      <c r="E17" s="12" t="s">
        <v>15</v>
      </c>
      <c r="F17" s="12" t="s">
        <v>16</v>
      </c>
      <c r="G17" s="12" t="s">
        <v>17</v>
      </c>
      <c r="H17" s="12" t="s">
        <v>18</v>
      </c>
      <c r="I17" s="12" t="s">
        <v>19</v>
      </c>
    </row>
    <row r="18" customFormat="false" ht="15" hidden="false" customHeight="true" outlineLevel="0" collapsed="false">
      <c r="B18" s="13" t="s">
        <v>20</v>
      </c>
      <c r="C18" s="14" t="n">
        <f aca="false">'P&amp;L'!C5</f>
        <v>348750</v>
      </c>
      <c r="D18" s="14" t="n">
        <f aca="false">'P&amp;L'!D5</f>
        <v>1342125</v>
      </c>
      <c r="E18" s="14" t="n">
        <f aca="false">'P&amp;L'!E5</f>
        <v>3177500</v>
      </c>
      <c r="F18" s="14" t="n">
        <f aca="false">'P&amp;L'!F5</f>
        <v>10188875</v>
      </c>
      <c r="G18" s="14" t="n">
        <f aca="false">'P&amp;L'!G5</f>
        <v>23192222.5</v>
      </c>
      <c r="H18" s="14" t="n">
        <f aca="false">'P&amp;L'!H5</f>
        <v>40601094.25</v>
      </c>
      <c r="I18" s="14" t="n">
        <f aca="false">'P&amp;L'!I5</f>
        <v>60581809</v>
      </c>
    </row>
    <row r="19" customFormat="false" ht="15" hidden="false" customHeight="true" outlineLevel="0" collapsed="false">
      <c r="B19" s="13" t="s">
        <v>21</v>
      </c>
      <c r="C19" s="14" t="n">
        <f aca="false">'P&amp;L'!C17</f>
        <v>-130983.333333333</v>
      </c>
      <c r="D19" s="14" t="n">
        <f aca="false">'P&amp;L'!D17</f>
        <v>58491.6666666667</v>
      </c>
      <c r="E19" s="14" t="n">
        <f aca="false">'P&amp;L'!E17</f>
        <v>834479.166666667</v>
      </c>
      <c r="F19" s="14" t="n">
        <f aca="false">'P&amp;L'!F17</f>
        <v>1377743.125</v>
      </c>
      <c r="G19" s="14" t="n">
        <f aca="false">'P&amp;L'!G17</f>
        <v>7458229.5125</v>
      </c>
      <c r="H19" s="14" t="n">
        <f aca="false">'P&amp;L'!H17</f>
        <v>18995783.29125</v>
      </c>
      <c r="I19" s="14" t="n">
        <f aca="false">'P&amp;L'!I17</f>
        <v>33405333.37125</v>
      </c>
    </row>
    <row r="20" customFormat="false" ht="15" hidden="false" customHeight="true" outlineLevel="0" collapsed="false">
      <c r="B20" s="13" t="s">
        <v>22</v>
      </c>
      <c r="C20" s="14" t="n">
        <f aca="false">'P&amp;L'!C25</f>
        <v>-130983.333333333</v>
      </c>
      <c r="D20" s="14" t="n">
        <f aca="false">'P&amp;L'!D25</f>
        <v>94360.8173515982</v>
      </c>
      <c r="E20" s="14" t="n">
        <f aca="false">'P&amp;L'!E25</f>
        <v>657962.719417352</v>
      </c>
      <c r="F20" s="14" t="n">
        <f aca="false">'P&amp;L'!F25</f>
        <v>1070914.11759019</v>
      </c>
      <c r="G20" s="14" t="n">
        <f aca="false">'P&amp;L'!G25</f>
        <v>5849234.38165921</v>
      </c>
      <c r="H20" s="14" t="n">
        <f aca="false">'P&amp;L'!H25</f>
        <v>14566565.032422</v>
      </c>
      <c r="I20" s="14" t="n">
        <f aca="false">'P&amp;L'!I25</f>
        <v>25660494.9131438</v>
      </c>
    </row>
    <row r="21" customFormat="false" ht="15" hidden="false" customHeight="true" outlineLevel="0" collapsed="false">
      <c r="B21" s="13" t="s">
        <v>23</v>
      </c>
      <c r="C21" s="14" t="n">
        <f aca="false">'Balance Sheet'!C6</f>
        <v>896728.767123288</v>
      </c>
      <c r="D21" s="14" t="n">
        <f aca="false">'Balance Sheet'!D6</f>
        <v>1044806.82191781</v>
      </c>
      <c r="E21" s="14" t="n">
        <f aca="false">'Balance Sheet'!E6</f>
        <v>1735952.87466849</v>
      </c>
      <c r="F21" s="14" t="n">
        <f aca="false">'Balance Sheet'!F6</f>
        <v>11153531.8381491</v>
      </c>
      <c r="G21" s="14" t="n">
        <f aca="false">'Balance Sheet'!G6</f>
        <v>17219101.2465206</v>
      </c>
      <c r="H21" s="14" t="n">
        <f aca="false">'Balance Sheet'!H6</f>
        <v>31775277.6492851</v>
      </c>
      <c r="I21" s="14" t="n">
        <f aca="false">'Balance Sheet'!I6</f>
        <v>57312407.155494</v>
      </c>
    </row>
    <row r="22" customFormat="false" ht="15" hidden="false" customHeight="true" outlineLevel="0" collapsed="false">
      <c r="B22" s="7" t="s">
        <v>24</v>
      </c>
      <c r="C22" s="15" t="n">
        <f aca="false">'Balance Sheet'!C20</f>
        <v>0</v>
      </c>
      <c r="D22" s="15" t="n">
        <f aca="false">'Balance Sheet'!D20</f>
        <v>0</v>
      </c>
      <c r="E22" s="15" t="n">
        <f aca="false">'Balance Sheet'!E20</f>
        <v>0</v>
      </c>
      <c r="F22" s="15" t="n">
        <f aca="false">'Balance Sheet'!F20</f>
        <v>0</v>
      </c>
      <c r="G22" s="15" t="n">
        <f aca="false">'Balance Sheet'!G20</f>
        <v>0</v>
      </c>
      <c r="H22" s="15" t="n">
        <f aca="false">'Balance Sheet'!H20</f>
        <v>0</v>
      </c>
      <c r="I22" s="15" t="n">
        <f aca="false">'Balance Sheet'!I20</f>
        <v>0</v>
      </c>
    </row>
    <row r="25" customFormat="false" ht="15" hidden="false" customHeight="true" outlineLevel="0" collapsed="false">
      <c r="B25" s="4" t="s">
        <v>25</v>
      </c>
      <c r="C25" s="4"/>
      <c r="D25" s="4"/>
      <c r="E25" s="4"/>
      <c r="F25" s="4"/>
      <c r="G25" s="4"/>
      <c r="H25" s="4"/>
      <c r="I25" s="4"/>
    </row>
    <row r="26" customFormat="false" ht="25.5" hidden="false" customHeight="true" outlineLevel="0" collapsed="false">
      <c r="B26" s="9" t="s">
        <v>26</v>
      </c>
      <c r="C26" s="16" t="s">
        <v>27</v>
      </c>
      <c r="D26" s="16"/>
      <c r="E26" s="16"/>
      <c r="F26" s="10" t="s">
        <v>28</v>
      </c>
      <c r="G26" s="10"/>
      <c r="H26" s="10"/>
      <c r="I26" s="10"/>
    </row>
    <row r="27" customFormat="false" ht="25.5" hidden="false" customHeight="true" outlineLevel="0" collapsed="false">
      <c r="B27" s="9" t="s">
        <v>29</v>
      </c>
      <c r="C27" s="16" t="s">
        <v>30</v>
      </c>
      <c r="D27" s="16"/>
      <c r="E27" s="16"/>
      <c r="F27" s="10" t="s">
        <v>31</v>
      </c>
      <c r="G27" s="10"/>
      <c r="H27" s="10"/>
      <c r="I27" s="10"/>
    </row>
    <row r="28" customFormat="false" ht="25.5" hidden="false" customHeight="true" outlineLevel="0" collapsed="false">
      <c r="B28" s="9" t="s">
        <v>32</v>
      </c>
      <c r="C28" s="16" t="s">
        <v>33</v>
      </c>
      <c r="D28" s="16"/>
      <c r="E28" s="16"/>
      <c r="F28" s="10" t="s">
        <v>34</v>
      </c>
      <c r="G28" s="10"/>
      <c r="H28" s="10"/>
      <c r="I28" s="10"/>
    </row>
    <row r="29" customFormat="false" ht="25.5" hidden="false" customHeight="true" outlineLevel="0" collapsed="false">
      <c r="B29" s="9" t="s">
        <v>35</v>
      </c>
      <c r="C29" s="16" t="s">
        <v>36</v>
      </c>
      <c r="D29" s="16"/>
      <c r="E29" s="16"/>
      <c r="F29" s="10" t="s">
        <v>37</v>
      </c>
      <c r="G29" s="10"/>
      <c r="H29" s="10"/>
      <c r="I29" s="10"/>
    </row>
    <row r="30" customFormat="false" ht="25.5" hidden="false" customHeight="true" outlineLevel="0" collapsed="false">
      <c r="B30" s="9" t="s">
        <v>38</v>
      </c>
      <c r="C30" s="16" t="s">
        <v>39</v>
      </c>
      <c r="D30" s="16"/>
      <c r="E30" s="16"/>
      <c r="F30" s="10" t="s">
        <v>40</v>
      </c>
      <c r="G30" s="10"/>
      <c r="H30" s="10"/>
      <c r="I30" s="10"/>
    </row>
    <row r="32" customFormat="false" ht="15" hidden="false" customHeight="true" outlineLevel="0" collapsed="false">
      <c r="B32" s="17" t="s">
        <v>41</v>
      </c>
      <c r="C32" s="17"/>
      <c r="D32" s="17"/>
      <c r="E32" s="17"/>
      <c r="F32" s="17"/>
      <c r="G32" s="17"/>
      <c r="H32" s="17"/>
      <c r="I32" s="17"/>
    </row>
  </sheetData>
  <mergeCells count="20">
    <mergeCell ref="B1:I1"/>
    <mergeCell ref="B2:I2"/>
    <mergeCell ref="B4:D4"/>
    <mergeCell ref="B10:E10"/>
    <mergeCell ref="C11:I11"/>
    <mergeCell ref="C12:I12"/>
    <mergeCell ref="C13:I13"/>
    <mergeCell ref="B16:I16"/>
    <mergeCell ref="B25:I25"/>
    <mergeCell ref="C26:E26"/>
    <mergeCell ref="F26:I26"/>
    <mergeCell ref="C27:E27"/>
    <mergeCell ref="F27:I27"/>
    <mergeCell ref="C28:E28"/>
    <mergeCell ref="F28:I28"/>
    <mergeCell ref="C29:E29"/>
    <mergeCell ref="F29:I29"/>
    <mergeCell ref="C30:E30"/>
    <mergeCell ref="F30:I30"/>
    <mergeCell ref="B32:I32"/>
  </mergeCells>
  <dataValidations count="1">
    <dataValidation allowBlank="false" errorStyle="stop" operator="between" showDropDown="false" showErrorMessage="false" showInputMessage="false" sqref="C5" type="list">
      <formula1>"Bear,Base,Bull"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9" min="3" style="1" width="12"/>
  </cols>
  <sheetData>
    <row r="1" customFormat="false" ht="19.5" hidden="false" customHeight="true" outlineLevel="0" collapsed="false">
      <c r="B1" s="2" t="s">
        <v>42</v>
      </c>
      <c r="C1" s="2"/>
      <c r="D1" s="2"/>
      <c r="E1" s="2"/>
      <c r="F1" s="2"/>
      <c r="G1" s="2"/>
      <c r="H1" s="2"/>
      <c r="I1" s="2"/>
    </row>
    <row r="2" customFormat="false" ht="15" hidden="false" customHeight="true" outlineLevel="0" collapsed="false">
      <c r="B2" s="3" t="s">
        <v>43</v>
      </c>
      <c r="C2" s="3"/>
      <c r="D2" s="3"/>
      <c r="E2" s="3"/>
      <c r="F2" s="3"/>
      <c r="G2" s="3"/>
      <c r="H2" s="3"/>
      <c r="I2" s="3"/>
    </row>
    <row r="4" customFormat="false" ht="15" hidden="false" customHeight="true" outlineLevel="0" collapsed="false">
      <c r="B4" s="11"/>
      <c r="C4" s="12" t="s">
        <v>13</v>
      </c>
      <c r="D4" s="12" t="s">
        <v>14</v>
      </c>
      <c r="E4" s="12" t="s">
        <v>15</v>
      </c>
      <c r="F4" s="12" t="s">
        <v>16</v>
      </c>
      <c r="G4" s="12" t="s">
        <v>17</v>
      </c>
      <c r="H4" s="12" t="s">
        <v>18</v>
      </c>
      <c r="I4" s="12" t="s">
        <v>19</v>
      </c>
    </row>
    <row r="5" customFormat="false" ht="15" hidden="false" customHeight="true" outlineLevel="0" collapsed="false">
      <c r="B5" s="5" t="s">
        <v>20</v>
      </c>
      <c r="C5" s="14" t="n">
        <f aca="false">'P&amp;L'!C5</f>
        <v>348750</v>
      </c>
      <c r="D5" s="14" t="n">
        <f aca="false">'P&amp;L'!D5</f>
        <v>1342125</v>
      </c>
      <c r="E5" s="14" t="n">
        <f aca="false">'P&amp;L'!E5</f>
        <v>3177500</v>
      </c>
      <c r="F5" s="14" t="n">
        <f aca="false">'P&amp;L'!F5</f>
        <v>10188875</v>
      </c>
      <c r="G5" s="14" t="n">
        <f aca="false">'P&amp;L'!G5</f>
        <v>23192222.5</v>
      </c>
      <c r="H5" s="14" t="n">
        <f aca="false">'P&amp;L'!H5</f>
        <v>40601094.25</v>
      </c>
      <c r="I5" s="14" t="n">
        <f aca="false">'P&amp;L'!I5</f>
        <v>60581809</v>
      </c>
    </row>
    <row r="6" customFormat="false" ht="15" hidden="false" customHeight="true" outlineLevel="0" collapsed="false">
      <c r="B6" s="13" t="s">
        <v>44</v>
      </c>
      <c r="C6" s="18" t="n">
        <f aca="false">'P&amp;L'!C8</f>
        <v>0.965591397849462</v>
      </c>
      <c r="D6" s="18" t="n">
        <f aca="false">'P&amp;L'!D8</f>
        <v>0.885554624196703</v>
      </c>
      <c r="E6" s="18" t="n">
        <f aca="false">'P&amp;L'!E8</f>
        <v>0.695420928402832</v>
      </c>
      <c r="F6" s="18" t="n">
        <f aca="false">'P&amp;L'!F8</f>
        <v>0.792096772214793</v>
      </c>
      <c r="G6" s="18" t="n">
        <f aca="false">'P&amp;L'!G8</f>
        <v>0.837178174709216</v>
      </c>
      <c r="H6" s="18" t="n">
        <f aca="false">'P&amp;L'!H8</f>
        <v>0.872407379759229</v>
      </c>
      <c r="I6" s="18" t="n">
        <f aca="false">'P&amp;L'!I8</f>
        <v>0.891310607776668</v>
      </c>
    </row>
    <row r="7" customFormat="false" ht="15" hidden="false" customHeight="true" outlineLevel="0" collapsed="false">
      <c r="B7" s="13" t="s">
        <v>21</v>
      </c>
      <c r="C7" s="14" t="n">
        <f aca="false">'P&amp;L'!C17</f>
        <v>-130983.333333333</v>
      </c>
      <c r="D7" s="14" t="n">
        <f aca="false">'P&amp;L'!D17</f>
        <v>58491.6666666667</v>
      </c>
      <c r="E7" s="14" t="n">
        <f aca="false">'P&amp;L'!E17</f>
        <v>834479.166666667</v>
      </c>
      <c r="F7" s="14" t="n">
        <f aca="false">'P&amp;L'!F17</f>
        <v>1377743.125</v>
      </c>
      <c r="G7" s="14" t="n">
        <f aca="false">'P&amp;L'!G17</f>
        <v>7458229.5125</v>
      </c>
      <c r="H7" s="14" t="n">
        <f aca="false">'P&amp;L'!H17</f>
        <v>18995783.29125</v>
      </c>
      <c r="I7" s="14" t="n">
        <f aca="false">'P&amp;L'!I17</f>
        <v>33405333.37125</v>
      </c>
    </row>
    <row r="8" customFormat="false" ht="15" hidden="false" customHeight="true" outlineLevel="0" collapsed="false">
      <c r="B8" s="5" t="s">
        <v>22</v>
      </c>
      <c r="C8" s="19" t="n">
        <f aca="false">'P&amp;L'!C25</f>
        <v>-130983.333333333</v>
      </c>
      <c r="D8" s="19" t="n">
        <f aca="false">'P&amp;L'!D25</f>
        <v>94360.8173515982</v>
      </c>
      <c r="E8" s="19" t="n">
        <f aca="false">'P&amp;L'!E25</f>
        <v>657962.719417352</v>
      </c>
      <c r="F8" s="19" t="n">
        <f aca="false">'P&amp;L'!F25</f>
        <v>1070914.11759019</v>
      </c>
      <c r="G8" s="19" t="n">
        <f aca="false">'P&amp;L'!G25</f>
        <v>5849234.38165921</v>
      </c>
      <c r="H8" s="19" t="n">
        <f aca="false">'P&amp;L'!H25</f>
        <v>14566565.032422</v>
      </c>
      <c r="I8" s="19" t="n">
        <f aca="false">'P&amp;L'!I25</f>
        <v>25660494.9131438</v>
      </c>
    </row>
    <row r="9" customFormat="false" ht="15" hidden="false" customHeight="true" outlineLevel="0" collapsed="false">
      <c r="B9" s="13" t="s">
        <v>45</v>
      </c>
      <c r="C9" s="14" t="n">
        <f aca="false">'Cash Flow'!C11</f>
        <v>-93271.2328767123</v>
      </c>
      <c r="D9" s="14" t="n">
        <f aca="false">'Cash Flow'!D11</f>
        <v>151078.054794521</v>
      </c>
      <c r="E9" s="14" t="n">
        <f aca="false">'Cash Flow'!E11</f>
        <v>738808.552750685</v>
      </c>
      <c r="F9" s="14" t="n">
        <f aca="false">'Cash Flow'!F11</f>
        <v>1570412.0884806</v>
      </c>
      <c r="G9" s="14" t="n">
        <f aca="false">'Cash Flow'!G11</f>
        <v>6413452.74587154</v>
      </c>
      <c r="H9" s="14" t="n">
        <f aca="false">'Cash Flow'!H11</f>
        <v>15165192.8165145</v>
      </c>
      <c r="I9" s="14" t="n">
        <f aca="false">'Cash Flow'!I11</f>
        <v>26445856.6412089</v>
      </c>
    </row>
    <row r="10" customFormat="false" ht="15" hidden="false" customHeight="true" outlineLevel="0" collapsed="false">
      <c r="B10" s="5" t="s">
        <v>23</v>
      </c>
      <c r="C10" s="20" t="n">
        <f aca="false">'Cash Flow'!C23</f>
        <v>896728.767123288</v>
      </c>
      <c r="D10" s="20" t="n">
        <f aca="false">'Cash Flow'!D23</f>
        <v>1044806.82191781</v>
      </c>
      <c r="E10" s="20" t="n">
        <f aca="false">'Cash Flow'!E23</f>
        <v>1735952.87466849</v>
      </c>
      <c r="F10" s="20" t="n">
        <f aca="false">'Cash Flow'!F23</f>
        <v>11153531.8381491</v>
      </c>
      <c r="G10" s="20" t="n">
        <f aca="false">'Cash Flow'!G23</f>
        <v>17219101.2465206</v>
      </c>
      <c r="H10" s="20" t="n">
        <f aca="false">'Cash Flow'!H23</f>
        <v>31775277.6492851</v>
      </c>
      <c r="I10" s="20" t="n">
        <f aca="false">'Cash Flow'!I23</f>
        <v>57312407.155494</v>
      </c>
    </row>
    <row r="11" customFormat="false" ht="15" hidden="false" customHeight="true" outlineLevel="0" collapsed="false">
      <c r="B11" s="13" t="s">
        <v>46</v>
      </c>
      <c r="C11" s="14" t="n">
        <f aca="false">'Balance Sheet'!C17</f>
        <v>1000000</v>
      </c>
      <c r="D11" s="14" t="n">
        <f aca="false">'Balance Sheet'!D17</f>
        <v>1000000</v>
      </c>
      <c r="E11" s="14" t="n">
        <f aca="false">'Balance Sheet'!E17</f>
        <v>1000000</v>
      </c>
      <c r="F11" s="14" t="n">
        <f aca="false">'Balance Sheet'!F17</f>
        <v>9000000</v>
      </c>
      <c r="G11" s="14" t="n">
        <f aca="false">'Balance Sheet'!G17</f>
        <v>9000000</v>
      </c>
      <c r="H11" s="14" t="n">
        <f aca="false">'Balance Sheet'!H17</f>
        <v>9000000</v>
      </c>
      <c r="I11" s="14" t="n">
        <f aca="false">'Balance Sheet'!I17</f>
        <v>9000000</v>
      </c>
    </row>
    <row r="13" customFormat="false" ht="15" hidden="false" customHeight="true" outlineLevel="0" collapsed="false">
      <c r="B13" s="4" t="s">
        <v>47</v>
      </c>
      <c r="C13" s="4"/>
      <c r="D13" s="4"/>
      <c r="E13" s="4"/>
      <c r="F13" s="4"/>
      <c r="G13" s="4"/>
      <c r="H13" s="4"/>
      <c r="I13" s="4"/>
    </row>
    <row r="14" customFormat="false" ht="15" hidden="false" customHeight="true" outlineLevel="0" collapsed="false">
      <c r="B14" s="11"/>
      <c r="C14" s="21" t="s">
        <v>7</v>
      </c>
      <c r="D14" s="21" t="s">
        <v>4</v>
      </c>
      <c r="E14" s="21" t="s">
        <v>10</v>
      </c>
    </row>
    <row r="15" customFormat="false" ht="15" hidden="false" customHeight="true" outlineLevel="0" collapsed="false">
      <c r="B15" s="13" t="s">
        <v>48</v>
      </c>
      <c r="C15" s="22" t="n">
        <f aca="false">INDEX(Scenarios!$C$6:$I$8,1,7)</f>
        <v>11816789</v>
      </c>
      <c r="D15" s="22" t="n">
        <f aca="false">INDEX(Scenarios!$C$6:$I$8,2,7)</f>
        <v>60581809</v>
      </c>
      <c r="E15" s="22" t="n">
        <f aca="false">INDEX(Scenarios!$C$6:$I$8,3,7)</f>
        <v>91343109</v>
      </c>
    </row>
    <row r="16" customFormat="false" ht="15" hidden="false" customHeight="true" outlineLevel="0" collapsed="false">
      <c r="B16" s="13" t="s">
        <v>49</v>
      </c>
      <c r="C16" s="23" t="n">
        <f aca="false">'Cap Table'!C18</f>
        <v>0.857142857142857</v>
      </c>
      <c r="D16" s="23" t="n">
        <f aca="false">'Cap Table'!C19</f>
        <v>0.671814671814672</v>
      </c>
      <c r="E16" s="23" t="n">
        <f aca="false">'Cap Table'!C20</f>
        <v>0.503861003861004</v>
      </c>
    </row>
    <row r="17" customFormat="false" ht="15" hidden="false" customHeight="true" outlineLevel="0" collapsed="false">
      <c r="B17" s="13" t="s">
        <v>50</v>
      </c>
      <c r="C17" s="22" t="n">
        <f aca="false">SUM(INDEX(Scenarios!$C$21:$I$23,1,1):INDEX(Scenarios!$C$21:$I$23,1,7))</f>
        <v>1000000</v>
      </c>
      <c r="D17" s="22" t="n">
        <f aca="false">SUM(INDEX(Scenarios!$C$21:$I$23,2,1):INDEX(Scenarios!$C$21:$I$23,2,7))</f>
        <v>9000000</v>
      </c>
      <c r="E17" s="22" t="n">
        <f aca="false">SUM(INDEX(Scenarios!$C$21:$I$23,3,1):INDEX(Scenarios!$C$21:$I$23,3,7))</f>
        <v>39000000</v>
      </c>
    </row>
    <row r="19" customFormat="false" ht="15" hidden="false" customHeight="true" outlineLevel="0" collapsed="false">
      <c r="B19" s="4" t="s">
        <v>51</v>
      </c>
      <c r="C19" s="4"/>
      <c r="D19" s="4"/>
      <c r="E19" s="4"/>
      <c r="F19" s="4"/>
      <c r="G19" s="4"/>
      <c r="H19" s="4"/>
      <c r="I19" s="4"/>
    </row>
    <row r="20" customFormat="false" ht="15" hidden="false" customHeight="true" outlineLevel="0" collapsed="false">
      <c r="B20" s="24" t="s">
        <v>52</v>
      </c>
      <c r="C20" s="24"/>
      <c r="D20" s="24"/>
      <c r="E20" s="24"/>
      <c r="F20" s="24"/>
      <c r="G20" s="24"/>
      <c r="H20" s="24"/>
      <c r="I20" s="24"/>
    </row>
    <row r="21" customFormat="false" ht="15" hidden="false" customHeight="true" outlineLevel="0" collapsed="false">
      <c r="B21" s="24" t="s">
        <v>53</v>
      </c>
      <c r="C21" s="24"/>
      <c r="D21" s="24"/>
      <c r="E21" s="24"/>
      <c r="F21" s="24"/>
      <c r="G21" s="24"/>
      <c r="H21" s="24"/>
      <c r="I21" s="24"/>
    </row>
    <row r="22" customFormat="false" ht="15" hidden="false" customHeight="true" outlineLevel="0" collapsed="false">
      <c r="B22" s="24" t="s">
        <v>54</v>
      </c>
      <c r="C22" s="24"/>
      <c r="D22" s="24"/>
      <c r="E22" s="24"/>
      <c r="F22" s="24"/>
      <c r="G22" s="24"/>
      <c r="H22" s="24"/>
      <c r="I22" s="24"/>
    </row>
    <row r="23" customFormat="false" ht="15" hidden="false" customHeight="true" outlineLevel="0" collapsed="false">
      <c r="B23" s="24" t="s">
        <v>55</v>
      </c>
      <c r="C23" s="24"/>
      <c r="D23" s="24"/>
      <c r="E23" s="24"/>
      <c r="F23" s="24"/>
      <c r="G23" s="24"/>
      <c r="H23" s="24"/>
      <c r="I23" s="24"/>
    </row>
    <row r="24" customFormat="false" ht="15" hidden="false" customHeight="true" outlineLevel="0" collapsed="false">
      <c r="B24" s="24" t="s">
        <v>56</v>
      </c>
      <c r="C24" s="24"/>
      <c r="D24" s="24"/>
      <c r="E24" s="24"/>
      <c r="F24" s="24"/>
      <c r="G24" s="24"/>
      <c r="H24" s="24"/>
      <c r="I24" s="24"/>
    </row>
    <row r="25" customFormat="false" ht="15" hidden="false" customHeight="true" outlineLevel="0" collapsed="false">
      <c r="B25" s="24" t="s">
        <v>57</v>
      </c>
      <c r="C25" s="24"/>
      <c r="D25" s="24"/>
      <c r="E25" s="24"/>
      <c r="F25" s="24"/>
      <c r="G25" s="24"/>
      <c r="H25" s="24"/>
      <c r="I25" s="24"/>
    </row>
    <row r="26" customFormat="false" ht="15" hidden="false" customHeight="true" outlineLevel="0" collapsed="false">
      <c r="B26" s="24" t="s">
        <v>58</v>
      </c>
      <c r="C26" s="24"/>
      <c r="D26" s="24"/>
      <c r="E26" s="24"/>
      <c r="F26" s="24"/>
      <c r="G26" s="24"/>
      <c r="H26" s="24"/>
      <c r="I26" s="24"/>
    </row>
    <row r="27" customFormat="false" ht="15" hidden="false" customHeight="true" outlineLevel="0" collapsed="false">
      <c r="B27" s="24" t="s">
        <v>59</v>
      </c>
      <c r="C27" s="24"/>
      <c r="D27" s="24"/>
      <c r="E27" s="24"/>
      <c r="F27" s="24"/>
      <c r="G27" s="24"/>
      <c r="H27" s="24"/>
      <c r="I27" s="24"/>
    </row>
  </sheetData>
  <mergeCells count="12">
    <mergeCell ref="B1:I1"/>
    <mergeCell ref="B2:I2"/>
    <mergeCell ref="B13:I13"/>
    <mergeCell ref="B19:I19"/>
    <mergeCell ref="B20:I20"/>
    <mergeCell ref="B21:I21"/>
    <mergeCell ref="B22:I22"/>
    <mergeCell ref="B23:I23"/>
    <mergeCell ref="B24:I24"/>
    <mergeCell ref="B25:I25"/>
    <mergeCell ref="B26:I26"/>
    <mergeCell ref="B27:I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7" min="3" style="1" width="14"/>
  </cols>
  <sheetData>
    <row r="1" customFormat="false" ht="19.5" hidden="false" customHeight="true" outlineLevel="0" collapsed="false">
      <c r="B1" s="2" t="s">
        <v>60</v>
      </c>
      <c r="C1" s="2"/>
      <c r="D1" s="2"/>
      <c r="E1" s="2"/>
      <c r="F1" s="2"/>
      <c r="G1" s="2"/>
    </row>
    <row r="2" customFormat="false" ht="15" hidden="false" customHeight="true" outlineLevel="0" collapsed="false">
      <c r="B2" s="3" t="s">
        <v>61</v>
      </c>
      <c r="C2" s="3"/>
      <c r="D2" s="3"/>
      <c r="E2" s="3"/>
      <c r="F2" s="3"/>
      <c r="G2" s="3"/>
    </row>
    <row r="4" customFormat="false" ht="15" hidden="false" customHeight="true" outlineLevel="0" collapsed="false">
      <c r="B4" s="4" t="s">
        <v>62</v>
      </c>
      <c r="C4" s="4"/>
      <c r="D4" s="4"/>
      <c r="E4" s="4"/>
      <c r="F4" s="4"/>
      <c r="G4" s="4"/>
    </row>
    <row r="5" customFormat="false" ht="42" hidden="false" customHeight="true" outlineLevel="0" collapsed="false">
      <c r="B5" s="25" t="s">
        <v>63</v>
      </c>
      <c r="C5" s="25"/>
      <c r="D5" s="25"/>
      <c r="E5" s="25"/>
      <c r="F5" s="25"/>
      <c r="G5" s="25"/>
    </row>
    <row r="7" customFormat="false" ht="15" hidden="false" customHeight="true" outlineLevel="0" collapsed="false">
      <c r="B7" s="4" t="s">
        <v>64</v>
      </c>
      <c r="C7" s="4"/>
      <c r="D7" s="4"/>
      <c r="E7" s="4"/>
      <c r="F7" s="4"/>
      <c r="G7" s="4"/>
    </row>
    <row r="8" customFormat="false" ht="15" hidden="false" customHeight="true" outlineLevel="0" collapsed="false">
      <c r="B8" s="11"/>
      <c r="C8" s="21" t="s">
        <v>16</v>
      </c>
      <c r="D8" s="21" t="s">
        <v>17</v>
      </c>
      <c r="E8" s="21" t="s">
        <v>18</v>
      </c>
      <c r="F8" s="21" t="s">
        <v>19</v>
      </c>
      <c r="G8" s="21" t="s">
        <v>65</v>
      </c>
    </row>
    <row r="9" customFormat="false" ht="15" hidden="false" customHeight="true" outlineLevel="0" collapsed="false">
      <c r="B9" s="13" t="s">
        <v>66</v>
      </c>
      <c r="C9" s="22" t="n">
        <v>2555000</v>
      </c>
      <c r="D9" s="22" t="n">
        <v>4755000</v>
      </c>
      <c r="E9" s="22" t="n">
        <v>6365000</v>
      </c>
      <c r="F9" s="22" t="n">
        <v>8080000</v>
      </c>
      <c r="G9" s="26" t="n">
        <f aca="false">SUM(C9:F9)</f>
        <v>21755000</v>
      </c>
    </row>
    <row r="10" customFormat="false" ht="15" hidden="false" customHeight="true" outlineLevel="0" collapsed="false">
      <c r="B10" s="13" t="s">
        <v>67</v>
      </c>
      <c r="C10" s="22" t="n">
        <v>1890000</v>
      </c>
      <c r="D10" s="22" t="n">
        <v>3845000</v>
      </c>
      <c r="E10" s="22" t="n">
        <v>5350000</v>
      </c>
      <c r="F10" s="22" t="n">
        <v>6730000</v>
      </c>
      <c r="G10" s="26" t="n">
        <f aca="false">SUM(C10:F10)</f>
        <v>17815000</v>
      </c>
    </row>
    <row r="11" customFormat="false" ht="15" hidden="false" customHeight="true" outlineLevel="0" collapsed="false">
      <c r="B11" s="13" t="s">
        <v>68</v>
      </c>
      <c r="C11" s="22" t="n">
        <v>220000</v>
      </c>
      <c r="D11" s="22" t="n">
        <v>720000</v>
      </c>
      <c r="E11" s="22" t="n">
        <v>1025000</v>
      </c>
      <c r="F11" s="22" t="n">
        <v>1320000</v>
      </c>
      <c r="G11" s="26" t="n">
        <f aca="false">SUM(C11:F11)</f>
        <v>3285000</v>
      </c>
    </row>
    <row r="12" customFormat="false" ht="15" hidden="false" customHeight="true" outlineLevel="0" collapsed="false">
      <c r="B12" s="5" t="s">
        <v>69</v>
      </c>
      <c r="C12" s="26" t="n">
        <f aca="false">SUM(C9:C11)</f>
        <v>4665000</v>
      </c>
      <c r="D12" s="26" t="n">
        <f aca="false">SUM(D9:D11)</f>
        <v>9320000</v>
      </c>
      <c r="E12" s="26" t="n">
        <f aca="false">SUM(E9:E11)</f>
        <v>12740000</v>
      </c>
      <c r="F12" s="26" t="n">
        <f aca="false">SUM(F9:F11)</f>
        <v>16130000</v>
      </c>
      <c r="G12" s="27" t="n">
        <f aca="false">SUM(G9:G11)</f>
        <v>42855000</v>
      </c>
    </row>
    <row r="13" customFormat="false" ht="15" hidden="false" customHeight="true" outlineLevel="0" collapsed="false">
      <c r="B13" s="13" t="s">
        <v>70</v>
      </c>
      <c r="G13" s="22" t="n">
        <f aca="false">'Cap Table'!$D$7</f>
        <v>8000000</v>
      </c>
    </row>
    <row r="14" customFormat="false" ht="15" hidden="false" customHeight="true" outlineLevel="0" collapsed="false">
      <c r="B14" s="5" t="s">
        <v>71</v>
      </c>
      <c r="G14" s="28" t="n">
        <f aca="false">G12-G13</f>
        <v>34855000</v>
      </c>
    </row>
    <row r="15" customFormat="false" ht="15" hidden="false" customHeight="true" outlineLevel="0" collapsed="false">
      <c r="B15" s="29" t="str">
        <f aca="false">"  the raise covers ~"&amp;TEXT(G13/G12,"0%")&amp;" of the incremental build; the business funds the rest as revenue scales"</f>
        <v>  the raise covers ~19% of the incremental build; the business funds the rest as revenue scales</v>
      </c>
      <c r="C15" s="29"/>
      <c r="D15" s="29"/>
      <c r="E15" s="29"/>
      <c r="F15" s="29"/>
      <c r="G15" s="29"/>
    </row>
    <row r="16" customFormat="false" ht="15" hidden="false" customHeight="true" outlineLevel="0" collapsed="false"/>
    <row r="18" customFormat="false" ht="15" hidden="false" customHeight="true" outlineLevel="0" collapsed="false">
      <c r="B18" s="4" t="s">
        <v>72</v>
      </c>
      <c r="C18" s="4"/>
      <c r="D18" s="4"/>
      <c r="E18" s="4"/>
      <c r="F18" s="4"/>
      <c r="G18" s="4"/>
    </row>
    <row r="19" customFormat="false" ht="15" hidden="false" customHeight="true" outlineLevel="0" collapsed="false">
      <c r="B19" s="11"/>
      <c r="C19" s="21" t="s">
        <v>7</v>
      </c>
      <c r="D19" s="21" t="s">
        <v>4</v>
      </c>
      <c r="E19" s="21" t="s">
        <v>73</v>
      </c>
    </row>
    <row r="20" customFormat="false" ht="15" hidden="false" customHeight="true" outlineLevel="0" collapsed="false">
      <c r="B20" s="13" t="s">
        <v>48</v>
      </c>
      <c r="C20" s="14" t="n">
        <f aca="false">INDEX(Scenarios!$C$6:$I$8,1,7)</f>
        <v>11816789</v>
      </c>
      <c r="D20" s="14" t="n">
        <f aca="false">INDEX(Scenarios!$C$6:$I$8,2,7)</f>
        <v>60581809</v>
      </c>
      <c r="E20" s="27" t="n">
        <f aca="false">D20-C20</f>
        <v>48765020</v>
      </c>
    </row>
    <row r="21" customFormat="false" ht="15" hidden="false" customHeight="true" outlineLevel="0" collapsed="false">
      <c r="B21" s="13" t="s">
        <v>74</v>
      </c>
      <c r="C21" s="30" t="n">
        <v>15</v>
      </c>
      <c r="D21" s="30" t="n">
        <v>62</v>
      </c>
      <c r="E21" s="31" t="n">
        <f aca="false">D21-C21</f>
        <v>47</v>
      </c>
    </row>
    <row r="22" customFormat="false" ht="15" hidden="false" customHeight="true" outlineLevel="0" collapsed="false">
      <c r="B22" s="32" t="s">
        <v>75</v>
      </c>
      <c r="E22" s="33" t="n">
        <f aca="false">E20/G13</f>
        <v>6.0956275</v>
      </c>
    </row>
    <row r="23" customFormat="false" ht="39.75" hidden="false" customHeight="true" outlineLevel="0" collapsed="false">
      <c r="B23" s="10" t="s">
        <v>76</v>
      </c>
      <c r="C23" s="10"/>
      <c r="D23" s="10"/>
      <c r="E23" s="10"/>
      <c r="F23" s="10"/>
      <c r="G23" s="10"/>
    </row>
    <row r="25" customFormat="false" ht="15" hidden="false" customHeight="true" outlineLevel="0" collapsed="false">
      <c r="B25" s="4" t="s">
        <v>77</v>
      </c>
      <c r="C25" s="4"/>
      <c r="D25" s="4"/>
      <c r="E25" s="4"/>
      <c r="F25" s="4"/>
      <c r="G25" s="4"/>
    </row>
    <row r="26" customFormat="false" ht="43.5" hidden="false" customHeight="true" outlineLevel="0" collapsed="false">
      <c r="B26" s="34" t="s">
        <v>78</v>
      </c>
      <c r="C26" s="34"/>
      <c r="D26" s="34"/>
      <c r="E26" s="34"/>
      <c r="F26" s="34"/>
      <c r="G26" s="34"/>
    </row>
    <row r="28" customFormat="false" ht="15" hidden="false" customHeight="true" outlineLevel="0" collapsed="false">
      <c r="B28" s="35"/>
      <c r="C28" s="36" t="s">
        <v>79</v>
      </c>
      <c r="D28" s="36" t="s">
        <v>80</v>
      </c>
      <c r="E28" s="36" t="s">
        <v>81</v>
      </c>
    </row>
    <row r="29" customFormat="false" ht="42" hidden="false" customHeight="true" outlineLevel="0" collapsed="false">
      <c r="B29" s="37" t="s">
        <v>82</v>
      </c>
      <c r="C29" s="38" t="s">
        <v>83</v>
      </c>
      <c r="D29" s="39" t="s">
        <v>84</v>
      </c>
      <c r="E29" s="38" t="s">
        <v>85</v>
      </c>
    </row>
    <row r="30" customFormat="false" ht="42" hidden="false" customHeight="true" outlineLevel="0" collapsed="false">
      <c r="B30" s="37" t="s">
        <v>86</v>
      </c>
      <c r="C30" s="38" t="s">
        <v>87</v>
      </c>
      <c r="D30" s="39" t="s">
        <v>88</v>
      </c>
      <c r="E30" s="38" t="s">
        <v>89</v>
      </c>
    </row>
    <row r="31" customFormat="false" ht="42" hidden="false" customHeight="true" outlineLevel="0" collapsed="false">
      <c r="B31" s="37" t="s">
        <v>90</v>
      </c>
      <c r="C31" s="38" t="s">
        <v>91</v>
      </c>
      <c r="D31" s="39" t="s">
        <v>92</v>
      </c>
      <c r="E31" s="38" t="s">
        <v>93</v>
      </c>
    </row>
    <row r="32" customFormat="false" ht="42" hidden="false" customHeight="true" outlineLevel="0" collapsed="false">
      <c r="B32" s="37" t="s">
        <v>94</v>
      </c>
      <c r="C32" s="38" t="s">
        <v>95</v>
      </c>
      <c r="D32" s="39" t="s">
        <v>96</v>
      </c>
      <c r="E32" s="40" t="s">
        <v>97</v>
      </c>
    </row>
    <row r="33" customFormat="false" ht="15" hidden="false" customHeight="true" outlineLevel="0" collapsed="false">
      <c r="B33" s="41" t="s">
        <v>98</v>
      </c>
      <c r="C33" s="38" t="s">
        <v>99</v>
      </c>
      <c r="D33" s="39" t="s">
        <v>100</v>
      </c>
      <c r="E33" s="38" t="s">
        <v>101</v>
      </c>
    </row>
    <row r="34" customFormat="false" ht="39.75" hidden="false" customHeight="true" outlineLevel="0" collapsed="false">
      <c r="B34" s="42" t="s">
        <v>102</v>
      </c>
      <c r="C34" s="38" t="s">
        <v>103</v>
      </c>
      <c r="D34" s="39" t="s">
        <v>104</v>
      </c>
      <c r="E34" s="38" t="s">
        <v>105</v>
      </c>
    </row>
    <row r="36" customFormat="false" ht="43.5" hidden="false" customHeight="true" outlineLevel="0" collapsed="false">
      <c r="B36" s="43" t="s">
        <v>106</v>
      </c>
      <c r="C36" s="43"/>
      <c r="D36" s="43"/>
      <c r="E36" s="43"/>
      <c r="F36" s="43"/>
      <c r="G36" s="43"/>
    </row>
    <row r="38" customFormat="false" ht="15" hidden="false" customHeight="true" outlineLevel="0" collapsed="false">
      <c r="B38" s="4" t="s">
        <v>107</v>
      </c>
      <c r="C38" s="4"/>
      <c r="D38" s="4"/>
      <c r="E38" s="4"/>
      <c r="F38" s="4"/>
      <c r="G38" s="4"/>
    </row>
    <row r="39" customFormat="false" ht="43.5" hidden="false" customHeight="true" outlineLevel="0" collapsed="false">
      <c r="B39" s="25" t="s">
        <v>108</v>
      </c>
      <c r="C39" s="25"/>
      <c r="D39" s="25"/>
      <c r="E39" s="25"/>
      <c r="F39" s="25"/>
      <c r="G39" s="25"/>
    </row>
    <row r="41" customFormat="false" ht="15" hidden="false" customHeight="true" outlineLevel="0" collapsed="false">
      <c r="B41" s="44" t="s">
        <v>109</v>
      </c>
      <c r="C41" s="44"/>
      <c r="D41" s="44"/>
      <c r="E41" s="44"/>
      <c r="F41" s="44"/>
      <c r="G41" s="44"/>
    </row>
    <row r="42" customFormat="false" ht="15" hidden="false" customHeight="true" outlineLevel="0" collapsed="false">
      <c r="B42" s="11"/>
      <c r="C42" s="21" t="s">
        <v>17</v>
      </c>
      <c r="D42" s="21" t="s">
        <v>18</v>
      </c>
      <c r="E42" s="45" t="s">
        <v>110</v>
      </c>
      <c r="F42" s="45"/>
      <c r="G42" s="45"/>
    </row>
    <row r="43" customFormat="false" ht="15" hidden="false" customHeight="true" outlineLevel="0" collapsed="false">
      <c r="B43" s="13" t="s">
        <v>111</v>
      </c>
      <c r="C43" s="14" t="n">
        <f aca="false">INDEX(Scenarios!$C$6:$I$8,2,5)</f>
        <v>23192222.5</v>
      </c>
      <c r="D43" s="14" t="n">
        <f aca="false">INDEX(Scenarios!$C$6:$I$8,2,6)</f>
        <v>40601094.25</v>
      </c>
      <c r="E43" s="10" t="s">
        <v>112</v>
      </c>
      <c r="F43" s="10"/>
      <c r="G43" s="10"/>
    </row>
    <row r="44" customFormat="false" ht="15" hidden="false" customHeight="true" outlineLevel="0" collapsed="false">
      <c r="B44" s="13" t="s">
        <v>113</v>
      </c>
      <c r="C44" s="14" t="n">
        <f aca="false">'Balance Sheet'!G6</f>
        <v>17219101.2465206</v>
      </c>
      <c r="D44" s="14" t="n">
        <f aca="false">'Balance Sheet'!H6</f>
        <v>31775277.6492851</v>
      </c>
      <c r="E44" s="10" t="s">
        <v>114</v>
      </c>
      <c r="F44" s="10"/>
      <c r="G44" s="10"/>
    </row>
    <row r="45" customFormat="false" ht="15" hidden="false" customHeight="true" outlineLevel="0" collapsed="false">
      <c r="B45" s="13" t="s">
        <v>115</v>
      </c>
      <c r="C45" s="14" t="n">
        <f aca="false">'Cash Flow'!G11</f>
        <v>6413452.74587154</v>
      </c>
      <c r="D45" s="14" t="n">
        <f aca="false">'Cash Flow'!H11</f>
        <v>15165192.8165145</v>
      </c>
      <c r="E45" s="10" t="s">
        <v>116</v>
      </c>
      <c r="F45" s="10"/>
      <c r="G45" s="10"/>
    </row>
    <row r="47" customFormat="false" ht="55.5" hidden="false" customHeight="true" outlineLevel="0" collapsed="false">
      <c r="B47" s="46" t="s">
        <v>117</v>
      </c>
      <c r="C47" s="46"/>
      <c r="D47" s="46"/>
      <c r="E47" s="46"/>
      <c r="F47" s="46"/>
      <c r="G47" s="46"/>
    </row>
    <row r="49" customFormat="false" ht="39.75" hidden="false" customHeight="true" outlineLevel="0" collapsed="false">
      <c r="B49" s="47" t="s">
        <v>118</v>
      </c>
      <c r="C49" s="47"/>
      <c r="D49" s="47"/>
      <c r="E49" s="47"/>
      <c r="F49" s="47"/>
      <c r="G49" s="47"/>
    </row>
  </sheetData>
  <mergeCells count="20">
    <mergeCell ref="B1:G1"/>
    <mergeCell ref="B2:G2"/>
    <mergeCell ref="B4:G4"/>
    <mergeCell ref="B5:G5"/>
    <mergeCell ref="B7:G7"/>
    <mergeCell ref="B15:G15"/>
    <mergeCell ref="B18:G18"/>
    <mergeCell ref="B23:G23"/>
    <mergeCell ref="B25:G25"/>
    <mergeCell ref="B26:G26"/>
    <mergeCell ref="B36:G36"/>
    <mergeCell ref="B38:G38"/>
    <mergeCell ref="B39:G39"/>
    <mergeCell ref="B41:G41"/>
    <mergeCell ref="E42:G42"/>
    <mergeCell ref="E43:G43"/>
    <mergeCell ref="E44:G44"/>
    <mergeCell ref="E45:G45"/>
    <mergeCell ref="B47:G47"/>
    <mergeCell ref="B49:G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6"/>
    <col collapsed="false" customWidth="true" hidden="false" outlineLevel="0" max="6" min="3" style="1" width="15"/>
  </cols>
  <sheetData>
    <row r="1" customFormat="false" ht="19.5" hidden="false" customHeight="true" outlineLevel="0" collapsed="false">
      <c r="B1" s="2" t="s">
        <v>119</v>
      </c>
      <c r="C1" s="2"/>
      <c r="D1" s="2"/>
      <c r="E1" s="2"/>
      <c r="F1" s="2"/>
    </row>
    <row r="2" customFormat="false" ht="15" hidden="false" customHeight="true" outlineLevel="0" collapsed="false">
      <c r="B2" s="3" t="s">
        <v>120</v>
      </c>
      <c r="C2" s="3"/>
      <c r="D2" s="3"/>
      <c r="E2" s="3"/>
      <c r="F2" s="3"/>
    </row>
    <row r="4" customFormat="false" ht="15" hidden="false" customHeight="true" outlineLevel="0" collapsed="false">
      <c r="B4" s="4" t="s">
        <v>121</v>
      </c>
      <c r="C4" s="4"/>
      <c r="D4" s="4"/>
      <c r="E4" s="4"/>
      <c r="F4" s="4"/>
    </row>
    <row r="5" customFormat="false" ht="48" hidden="false" customHeight="true" outlineLevel="0" collapsed="false">
      <c r="B5" s="9" t="s">
        <v>122</v>
      </c>
      <c r="C5" s="10" t="s">
        <v>123</v>
      </c>
      <c r="D5" s="10"/>
      <c r="E5" s="10"/>
      <c r="F5" s="10"/>
    </row>
    <row r="6" customFormat="false" ht="57.75" hidden="false" customHeight="true" outlineLevel="0" collapsed="false">
      <c r="B6" s="9" t="s">
        <v>124</v>
      </c>
      <c r="C6" s="10" t="s">
        <v>125</v>
      </c>
      <c r="D6" s="10"/>
      <c r="E6" s="10"/>
      <c r="F6" s="10"/>
    </row>
    <row r="7" customFormat="false" ht="48" hidden="false" customHeight="true" outlineLevel="0" collapsed="false">
      <c r="B7" s="9" t="s">
        <v>126</v>
      </c>
      <c r="C7" s="10" t="s">
        <v>127</v>
      </c>
      <c r="D7" s="10"/>
      <c r="E7" s="10"/>
      <c r="F7" s="10"/>
    </row>
    <row r="9" customFormat="false" ht="15" hidden="false" customHeight="true" outlineLevel="0" collapsed="false">
      <c r="B9" s="4" t="s">
        <v>128</v>
      </c>
      <c r="C9" s="4"/>
      <c r="D9" s="4"/>
      <c r="E9" s="4"/>
      <c r="F9" s="4"/>
    </row>
    <row r="10" customFormat="false" ht="48" hidden="false" customHeight="true" outlineLevel="0" collapsed="false">
      <c r="B10" s="9" t="s">
        <v>122</v>
      </c>
      <c r="C10" s="10" t="s">
        <v>129</v>
      </c>
      <c r="D10" s="10"/>
      <c r="E10" s="10"/>
      <c r="F10" s="10"/>
    </row>
    <row r="12" customFormat="false" ht="15" hidden="false" customHeight="true" outlineLevel="0" collapsed="false">
      <c r="B12" s="4" t="s">
        <v>130</v>
      </c>
      <c r="C12" s="4"/>
      <c r="D12" s="4"/>
      <c r="E12" s="4"/>
      <c r="F12" s="4"/>
    </row>
    <row r="13" customFormat="false" ht="15" hidden="false" customHeight="true" outlineLevel="0" collapsed="false">
      <c r="B13" s="11"/>
      <c r="C13" s="21" t="s">
        <v>131</v>
      </c>
      <c r="D13" s="21" t="s">
        <v>132</v>
      </c>
      <c r="E13" s="21" t="s">
        <v>133</v>
      </c>
    </row>
    <row r="14" customFormat="false" ht="15" hidden="false" customHeight="true" outlineLevel="0" collapsed="false">
      <c r="B14" s="13" t="s">
        <v>134</v>
      </c>
      <c r="C14" s="22" t="n">
        <f aca="false">INDEX(Scenarios!$C$6:$I$8,2,3)</f>
        <v>3177500</v>
      </c>
      <c r="D14" s="48" t="s">
        <v>135</v>
      </c>
      <c r="E14" s="30" t="str">
        <f aca="false">TEXT(C14*8,"$#,##0,,")&amp;"M - "&amp;TEXT(C14*10,"$#,##0,,")&amp;"M"</f>
        <v>$25M - $32M</v>
      </c>
    </row>
    <row r="15" customFormat="false" ht="15" hidden="false" customHeight="true" outlineLevel="0" collapsed="false">
      <c r="B15" s="13" t="s">
        <v>136</v>
      </c>
      <c r="C15" s="22" t="n">
        <f aca="false">INDEX(Scenarios!$C$6:$I$8,2,4)</f>
        <v>10188875</v>
      </c>
      <c r="D15" s="48" t="s">
        <v>137</v>
      </c>
      <c r="E15" s="30" t="str">
        <f aca="false">TEXT(C15*3.5,"$#,##0,,")&amp;"M - "&amp;TEXT(C15*4,"$#,##0,,")&amp;"M"</f>
        <v>$36M - $41M</v>
      </c>
    </row>
    <row r="16" customFormat="false" ht="15" hidden="false" customHeight="true" outlineLevel="0" collapsed="false">
      <c r="B16" s="32" t="s">
        <v>138</v>
      </c>
      <c r="C16" s="49" t="n">
        <f aca="false">C15/C14-1</f>
        <v>2.20656963021243</v>
      </c>
    </row>
    <row r="17" customFormat="false" ht="15" hidden="false" customHeight="true" outlineLevel="0" collapsed="false">
      <c r="B17" s="5" t="s">
        <v>139</v>
      </c>
      <c r="C17" s="27" t="n">
        <v>29000000</v>
      </c>
    </row>
    <row r="18" customFormat="false" ht="42" hidden="false" customHeight="true" outlineLevel="0" collapsed="false">
      <c r="B18" s="10" t="s">
        <v>140</v>
      </c>
      <c r="C18" s="10"/>
      <c r="D18" s="10"/>
      <c r="E18" s="10"/>
      <c r="F18" s="10"/>
    </row>
    <row r="20" customFormat="false" ht="15" hidden="false" customHeight="true" outlineLevel="0" collapsed="false">
      <c r="B20" s="4" t="s">
        <v>141</v>
      </c>
      <c r="C20" s="4"/>
      <c r="D20" s="4"/>
      <c r="E20" s="4"/>
      <c r="F20" s="4"/>
    </row>
    <row r="21" customFormat="false" ht="48" hidden="false" customHeight="true" outlineLevel="0" collapsed="false">
      <c r="B21" s="10" t="s">
        <v>142</v>
      </c>
      <c r="C21" s="10"/>
      <c r="D21" s="10"/>
      <c r="E21" s="10"/>
      <c r="F21" s="10"/>
    </row>
    <row r="23" customFormat="false" ht="15" hidden="false" customHeight="true" outlineLevel="0" collapsed="false">
      <c r="B23" s="4" t="s">
        <v>143</v>
      </c>
      <c r="C23" s="4"/>
      <c r="D23" s="4"/>
      <c r="E23" s="4"/>
      <c r="F23" s="4"/>
    </row>
    <row r="24" customFormat="false" ht="15" hidden="false" customHeight="true" outlineLevel="0" collapsed="false">
      <c r="B24" s="50" t="s">
        <v>144</v>
      </c>
      <c r="C24" s="50"/>
      <c r="D24" s="50"/>
      <c r="E24" s="50"/>
      <c r="F24" s="50"/>
    </row>
    <row r="25" customFormat="false" ht="15" hidden="false" customHeight="true" outlineLevel="0" collapsed="false">
      <c r="B25" s="50" t="s">
        <v>145</v>
      </c>
      <c r="C25" s="50"/>
      <c r="D25" s="50"/>
      <c r="E25" s="50"/>
      <c r="F25" s="50"/>
    </row>
    <row r="26" customFormat="false" ht="15" hidden="false" customHeight="true" outlineLevel="0" collapsed="false">
      <c r="B26" s="50" t="s">
        <v>146</v>
      </c>
      <c r="C26" s="50"/>
      <c r="D26" s="50"/>
      <c r="E26" s="50"/>
      <c r="F26" s="50"/>
    </row>
    <row r="27" customFormat="false" ht="15" hidden="false" customHeight="true" outlineLevel="0" collapsed="false">
      <c r="B27" s="50" t="s">
        <v>147</v>
      </c>
      <c r="C27" s="50"/>
      <c r="D27" s="50"/>
      <c r="E27" s="50"/>
      <c r="F27" s="50"/>
    </row>
    <row r="28" customFormat="false" ht="15" hidden="false" customHeight="true" outlineLevel="0" collapsed="false">
      <c r="B28" s="50" t="s">
        <v>148</v>
      </c>
      <c r="C28" s="50"/>
      <c r="D28" s="50"/>
      <c r="E28" s="50"/>
      <c r="F28" s="50"/>
    </row>
  </sheetData>
  <mergeCells count="18">
    <mergeCell ref="B1:F1"/>
    <mergeCell ref="B2:F2"/>
    <mergeCell ref="B4:F4"/>
    <mergeCell ref="C5:F5"/>
    <mergeCell ref="C6:F6"/>
    <mergeCell ref="C7:F7"/>
    <mergeCell ref="B9:F9"/>
    <mergeCell ref="C10:F10"/>
    <mergeCell ref="B12:F12"/>
    <mergeCell ref="B18:F18"/>
    <mergeCell ref="B20:F20"/>
    <mergeCell ref="B21:F21"/>
    <mergeCell ref="B23:F23"/>
    <mergeCell ref="B24:F24"/>
    <mergeCell ref="B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7" min="3" style="1" width="15"/>
  </cols>
  <sheetData>
    <row r="1" customFormat="false" ht="19.5" hidden="false" customHeight="true" outlineLevel="0" collapsed="false">
      <c r="B1" s="2" t="s">
        <v>149</v>
      </c>
      <c r="C1" s="2"/>
      <c r="D1" s="2"/>
      <c r="E1" s="2"/>
      <c r="F1" s="2"/>
      <c r="G1" s="2"/>
    </row>
    <row r="2" customFormat="false" ht="15" hidden="false" customHeight="true" outlineLevel="0" collapsed="false">
      <c r="B2" s="3" t="s">
        <v>150</v>
      </c>
      <c r="C2" s="3"/>
      <c r="D2" s="3"/>
      <c r="E2" s="3"/>
      <c r="F2" s="3"/>
      <c r="G2" s="3"/>
    </row>
    <row r="4" customFormat="false" ht="15" hidden="false" customHeight="true" outlineLevel="0" collapsed="false">
      <c r="B4" s="4" t="s">
        <v>151</v>
      </c>
      <c r="C4" s="4"/>
      <c r="D4" s="4"/>
      <c r="E4" s="4"/>
      <c r="F4" s="4"/>
      <c r="G4" s="4"/>
    </row>
    <row r="5" customFormat="false" ht="15" hidden="false" customHeight="true" outlineLevel="0" collapsed="false">
      <c r="B5" s="11"/>
      <c r="C5" s="21" t="s">
        <v>152</v>
      </c>
      <c r="D5" s="21" t="s">
        <v>153</v>
      </c>
      <c r="E5" s="21" t="s">
        <v>154</v>
      </c>
      <c r="F5" s="21" t="s">
        <v>155</v>
      </c>
      <c r="G5" s="21" t="s">
        <v>156</v>
      </c>
    </row>
    <row r="6" customFormat="false" ht="15" hidden="false" customHeight="true" outlineLevel="0" collapsed="false">
      <c r="B6" s="5" t="s">
        <v>157</v>
      </c>
      <c r="C6" s="51" t="s">
        <v>13</v>
      </c>
      <c r="D6" s="52" t="n">
        <v>1000000</v>
      </c>
      <c r="E6" s="52" t="n">
        <v>6000000</v>
      </c>
      <c r="F6" s="22" t="n">
        <f aca="false">D6+E6</f>
        <v>7000000</v>
      </c>
      <c r="G6" s="23" t="n">
        <f aca="false">D6/F6</f>
        <v>0.142857142857143</v>
      </c>
    </row>
    <row r="7" customFormat="false" ht="15" hidden="false" customHeight="true" outlineLevel="0" collapsed="false">
      <c r="B7" s="5" t="s">
        <v>158</v>
      </c>
      <c r="C7" s="51" t="s">
        <v>16</v>
      </c>
      <c r="D7" s="52" t="n">
        <v>8000000</v>
      </c>
      <c r="E7" s="52" t="n">
        <v>29000000</v>
      </c>
      <c r="F7" s="22" t="n">
        <f aca="false">D7+E7</f>
        <v>37000000</v>
      </c>
      <c r="G7" s="23" t="n">
        <f aca="false">D7/F7</f>
        <v>0.216216216216216</v>
      </c>
    </row>
    <row r="8" customFormat="false" ht="15" hidden="false" customHeight="true" outlineLevel="0" collapsed="false">
      <c r="B8" s="5" t="s">
        <v>159</v>
      </c>
      <c r="C8" s="51" t="s">
        <v>17</v>
      </c>
      <c r="D8" s="52" t="n">
        <v>30000000</v>
      </c>
      <c r="E8" s="52" t="n">
        <v>90000000</v>
      </c>
      <c r="F8" s="22" t="n">
        <f aca="false">D8+E8</f>
        <v>120000000</v>
      </c>
      <c r="G8" s="23" t="n">
        <f aca="false">D8/F8</f>
        <v>0.25</v>
      </c>
    </row>
    <row r="10" customFormat="false" ht="15" hidden="false" customHeight="true" outlineLevel="0" collapsed="false">
      <c r="B10" s="4" t="s">
        <v>160</v>
      </c>
      <c r="C10" s="4"/>
      <c r="D10" s="4"/>
      <c r="E10" s="4"/>
      <c r="F10" s="4"/>
      <c r="G10" s="4"/>
    </row>
    <row r="11" customFormat="false" ht="15" hidden="false" customHeight="true" outlineLevel="0" collapsed="false">
      <c r="B11" s="11"/>
      <c r="C11" s="21" t="s">
        <v>161</v>
      </c>
      <c r="D11" s="21" t="s">
        <v>162</v>
      </c>
      <c r="E11" s="21" t="s">
        <v>163</v>
      </c>
      <c r="F11" s="21" t="s">
        <v>164</v>
      </c>
    </row>
    <row r="12" customFormat="false" ht="15" hidden="false" customHeight="true" outlineLevel="0" collapsed="false">
      <c r="B12" s="13" t="s">
        <v>165</v>
      </c>
      <c r="C12" s="23" t="n">
        <f aca="false">1-G6</f>
        <v>0.857142857142857</v>
      </c>
      <c r="D12" s="23" t="n">
        <f aca="false">G6</f>
        <v>0.142857142857143</v>
      </c>
      <c r="E12" s="48" t="s">
        <v>166</v>
      </c>
      <c r="F12" s="48" t="s">
        <v>166</v>
      </c>
    </row>
    <row r="13" customFormat="false" ht="15" hidden="false" customHeight="true" outlineLevel="0" collapsed="false">
      <c r="B13" s="13" t="s">
        <v>167</v>
      </c>
      <c r="C13" s="23" t="n">
        <f aca="false">C12*(1-G7)</f>
        <v>0.671814671814672</v>
      </c>
      <c r="D13" s="23" t="n">
        <f aca="false">D12*(1-G7)</f>
        <v>0.111969111969112</v>
      </c>
      <c r="E13" s="23" t="n">
        <f aca="false">G7</f>
        <v>0.216216216216216</v>
      </c>
      <c r="F13" s="48" t="s">
        <v>166</v>
      </c>
    </row>
    <row r="14" customFormat="false" ht="15" hidden="false" customHeight="true" outlineLevel="0" collapsed="false">
      <c r="B14" s="13" t="s">
        <v>168</v>
      </c>
      <c r="C14" s="23" t="n">
        <f aca="false">C13*(1-G8)</f>
        <v>0.503861003861004</v>
      </c>
      <c r="D14" s="23" t="n">
        <f aca="false">D13*(1-G8)</f>
        <v>0.083976833976834</v>
      </c>
      <c r="E14" s="23" t="n">
        <f aca="false">E13*(1-G8)</f>
        <v>0.162162162162162</v>
      </c>
      <c r="F14" s="23" t="n">
        <f aca="false">G8</f>
        <v>0.25</v>
      </c>
    </row>
    <row r="17" customFormat="false" ht="15" hidden="false" customHeight="true" outlineLevel="0" collapsed="false">
      <c r="B17" s="4" t="s">
        <v>169</v>
      </c>
      <c r="C17" s="4"/>
      <c r="D17" s="4"/>
      <c r="E17" s="4"/>
      <c r="F17" s="4"/>
      <c r="G17" s="4"/>
    </row>
    <row r="18" customFormat="false" ht="15" hidden="false" customHeight="true" outlineLevel="0" collapsed="false">
      <c r="B18" s="5" t="s">
        <v>170</v>
      </c>
      <c r="C18" s="53" t="n">
        <f aca="false">C12</f>
        <v>0.857142857142857</v>
      </c>
    </row>
    <row r="19" customFormat="false" ht="15" hidden="false" customHeight="true" outlineLevel="0" collapsed="false">
      <c r="B19" s="5" t="s">
        <v>171</v>
      </c>
      <c r="C19" s="54" t="n">
        <f aca="false">C13</f>
        <v>0.671814671814672</v>
      </c>
    </row>
    <row r="20" customFormat="false" ht="15" hidden="false" customHeight="true" outlineLevel="0" collapsed="false">
      <c r="B20" s="5" t="s">
        <v>172</v>
      </c>
      <c r="C20" s="55" t="n">
        <f aca="false">C14</f>
        <v>0.503861003861004</v>
      </c>
    </row>
    <row r="22" customFormat="false" ht="15" hidden="false" customHeight="true" outlineLevel="0" collapsed="false">
      <c r="B22" s="4" t="s">
        <v>173</v>
      </c>
      <c r="C22" s="4"/>
      <c r="D22" s="4"/>
      <c r="E22" s="4"/>
      <c r="F22" s="4"/>
      <c r="G22" s="4"/>
    </row>
    <row r="23" customFormat="false" ht="15" hidden="false" customHeight="true" outlineLevel="0" collapsed="false">
      <c r="B23" s="13" t="s">
        <v>174</v>
      </c>
      <c r="C23" s="56" t="n">
        <v>0.04</v>
      </c>
    </row>
    <row r="24" customFormat="false" ht="42" hidden="false" customHeight="true" outlineLevel="0" collapsed="false">
      <c r="B24" s="10" t="s">
        <v>175</v>
      </c>
      <c r="C24" s="10"/>
      <c r="D24" s="10"/>
      <c r="E24" s="10"/>
      <c r="F24" s="10"/>
      <c r="G24" s="10"/>
    </row>
    <row r="26" customFormat="false" ht="15" hidden="false" customHeight="true" outlineLevel="0" collapsed="false">
      <c r="B26" s="11"/>
      <c r="C26" s="21" t="s">
        <v>176</v>
      </c>
      <c r="D26" s="21" t="s">
        <v>177</v>
      </c>
      <c r="E26" s="21" t="s">
        <v>178</v>
      </c>
      <c r="F26" s="21" t="s">
        <v>179</v>
      </c>
      <c r="G26" s="21" t="s">
        <v>180</v>
      </c>
    </row>
    <row r="27" customFormat="false" ht="15" hidden="false" customHeight="true" outlineLevel="0" collapsed="false">
      <c r="B27" s="13" t="s">
        <v>170</v>
      </c>
      <c r="C27" s="23" t="n">
        <f aca="false">C12-$C$23</f>
        <v>0.817142857142857</v>
      </c>
      <c r="D27" s="23" t="n">
        <f aca="false">$C$23</f>
        <v>0.04</v>
      </c>
      <c r="E27" s="53" t="n">
        <f aca="false">C27+D27</f>
        <v>0.857142857142857</v>
      </c>
      <c r="F27" s="57" t="n">
        <f aca="false">C18</f>
        <v>0.857142857142857</v>
      </c>
      <c r="G27" s="58" t="n">
        <f aca="false">E27-F27</f>
        <v>0</v>
      </c>
    </row>
    <row r="28" customFormat="false" ht="15" hidden="false" customHeight="true" outlineLevel="0" collapsed="false">
      <c r="B28" s="13" t="s">
        <v>171</v>
      </c>
      <c r="C28" s="23" t="n">
        <f aca="false">(C12-$C$23)*(1-G7)</f>
        <v>0.64046332046332</v>
      </c>
      <c r="D28" s="23" t="n">
        <f aca="false">$C$23*(1-G7)</f>
        <v>0.0313513513513514</v>
      </c>
      <c r="E28" s="53" t="n">
        <f aca="false">C28+D28</f>
        <v>0.671814671814672</v>
      </c>
      <c r="F28" s="57" t="n">
        <f aca="false">C19</f>
        <v>0.671814671814672</v>
      </c>
      <c r="G28" s="58" t="n">
        <f aca="false">E28-F28</f>
        <v>0</v>
      </c>
    </row>
    <row r="29" customFormat="false" ht="15" hidden="false" customHeight="true" outlineLevel="0" collapsed="false">
      <c r="B29" s="13" t="s">
        <v>172</v>
      </c>
      <c r="C29" s="23" t="n">
        <f aca="false">(C12-$C$23)*(1-G7)*(1-G8)</f>
        <v>0.48034749034749</v>
      </c>
      <c r="D29" s="23" t="n">
        <f aca="false">$C$23*(1-G7)*(1-G8)</f>
        <v>0.0235135135135135</v>
      </c>
      <c r="E29" s="53" t="n">
        <f aca="false">C29+D29</f>
        <v>0.503861003861004</v>
      </c>
      <c r="F29" s="57" t="n">
        <f aca="false">C20</f>
        <v>0.503861003861004</v>
      </c>
      <c r="G29" s="58" t="n">
        <f aca="false">E29-F29</f>
        <v>0</v>
      </c>
    </row>
    <row r="32" customFormat="false" ht="15" hidden="false" customHeight="true" outlineLevel="0" collapsed="false">
      <c r="B32" s="4" t="s">
        <v>181</v>
      </c>
      <c r="C32" s="4"/>
      <c r="D32" s="4"/>
      <c r="E32" s="4"/>
      <c r="F32" s="4"/>
      <c r="G32" s="4"/>
    </row>
    <row r="33" customFormat="false" ht="15" hidden="false" customHeight="true" outlineLevel="0" collapsed="false">
      <c r="B33" s="13" t="s">
        <v>182</v>
      </c>
      <c r="C33" s="56" t="n">
        <v>0.1</v>
      </c>
    </row>
    <row r="34" customFormat="false" ht="54" hidden="false" customHeight="true" outlineLevel="0" collapsed="false">
      <c r="B34" s="47" t="s">
        <v>183</v>
      </c>
      <c r="C34" s="47"/>
      <c r="D34" s="47"/>
      <c r="E34" s="47"/>
      <c r="F34" s="47"/>
      <c r="G34" s="47"/>
    </row>
    <row r="36" customFormat="false" ht="15" hidden="false" customHeight="true" outlineLevel="0" collapsed="false">
      <c r="B36" s="11"/>
      <c r="C36" s="21" t="s">
        <v>184</v>
      </c>
      <c r="D36" s="21" t="s">
        <v>185</v>
      </c>
      <c r="E36" s="21" t="s">
        <v>186</v>
      </c>
    </row>
    <row r="37" customFormat="false" ht="15" hidden="false" customHeight="true" outlineLevel="0" collapsed="false">
      <c r="B37" s="13" t="s">
        <v>187</v>
      </c>
      <c r="C37" s="23" t="n">
        <f aca="false">(1-$C$33)*C12</f>
        <v>0.771428571428572</v>
      </c>
      <c r="D37" s="23" t="n">
        <f aca="false">C12</f>
        <v>0.857142857142857</v>
      </c>
      <c r="E37" s="59" t="n">
        <f aca="false">C37-D37</f>
        <v>-0.0857142857142857</v>
      </c>
    </row>
    <row r="38" customFormat="false" ht="15" hidden="false" customHeight="true" outlineLevel="0" collapsed="false">
      <c r="B38" s="13" t="s">
        <v>188</v>
      </c>
      <c r="C38" s="23" t="n">
        <f aca="false">(1-$C$33)*C13</f>
        <v>0.604633204633205</v>
      </c>
      <c r="D38" s="23" t="n">
        <f aca="false">C12*(1-$C$33)*(1-G7)</f>
        <v>0.604633204633205</v>
      </c>
      <c r="E38" s="60" t="n">
        <f aca="false">C38-D38</f>
        <v>0</v>
      </c>
    </row>
    <row r="39" customFormat="false" ht="15" hidden="false" customHeight="true" outlineLevel="0" collapsed="false">
      <c r="B39" s="13" t="s">
        <v>189</v>
      </c>
      <c r="C39" s="23" t="n">
        <f aca="false">(1-$C$33)*C14</f>
        <v>0.453474903474904</v>
      </c>
      <c r="D39" s="23" t="n">
        <f aca="false">C12*(1-$C$33)*(1-G7)*(1-G8)</f>
        <v>0.453474903474904</v>
      </c>
      <c r="E39" s="60" t="n">
        <f aca="false">C39-D39</f>
        <v>0</v>
      </c>
    </row>
    <row r="41" customFormat="false" ht="15" hidden="false" customHeight="true" outlineLevel="0" collapsed="false">
      <c r="B41" s="13" t="s">
        <v>190</v>
      </c>
      <c r="C41" s="61" t="str">
        <f aca="false">TEXT($C$33*'Exit &amp; Return on Capital'!$C$28,"$#,##0,,")&amp;"M  -  "&amp;TEXT($C$33*'Exit &amp; Return on Capital'!$E$28,"$#,##0,,")&amp;"M"</f>
        <v>$20M  -  $51M</v>
      </c>
      <c r="D41" s="61"/>
      <c r="E41" s="61"/>
    </row>
    <row r="42" customFormat="false" ht="15" hidden="false" customHeight="true" outlineLevel="0" collapsed="false">
      <c r="B42" s="29" t="s">
        <v>191</v>
      </c>
      <c r="C42" s="29"/>
      <c r="D42" s="29"/>
      <c r="E42" s="29"/>
      <c r="F42" s="29"/>
      <c r="G42" s="29"/>
    </row>
    <row r="43" customFormat="false" ht="30" hidden="false" customHeight="true" outlineLevel="0" collapsed="false">
      <c r="B43" s="62" t="s">
        <v>192</v>
      </c>
      <c r="C43" s="62"/>
      <c r="D43" s="62"/>
      <c r="E43" s="62"/>
      <c r="F43" s="62"/>
      <c r="G43" s="62"/>
    </row>
    <row r="44" customFormat="false" ht="15" hidden="false" customHeight="true" outlineLevel="0" collapsed="false">
      <c r="B44" s="4" t="s">
        <v>193</v>
      </c>
      <c r="C44" s="4"/>
      <c r="D44" s="4"/>
      <c r="E44" s="4"/>
      <c r="F44" s="4"/>
      <c r="G44" s="4"/>
    </row>
    <row r="45" customFormat="false" ht="25.5" hidden="false" customHeight="true" outlineLevel="0" collapsed="false">
      <c r="B45" s="9" t="s">
        <v>194</v>
      </c>
      <c r="C45" s="63" t="s">
        <v>195</v>
      </c>
      <c r="D45" s="10" t="s">
        <v>196</v>
      </c>
      <c r="E45" s="10"/>
      <c r="F45" s="10"/>
      <c r="G45" s="10"/>
    </row>
    <row r="46" customFormat="false" ht="25.5" hidden="false" customHeight="true" outlineLevel="0" collapsed="false">
      <c r="B46" s="9" t="s">
        <v>197</v>
      </c>
      <c r="C46" s="63" t="s">
        <v>198</v>
      </c>
      <c r="D46" s="10" t="s">
        <v>199</v>
      </c>
      <c r="E46" s="10"/>
      <c r="F46" s="10"/>
      <c r="G46" s="10"/>
    </row>
    <row r="47" customFormat="false" ht="25.5" hidden="false" customHeight="true" outlineLevel="0" collapsed="false">
      <c r="B47" s="9" t="s">
        <v>200</v>
      </c>
      <c r="C47" s="63" t="s">
        <v>201</v>
      </c>
      <c r="D47" s="10" t="s">
        <v>202</v>
      </c>
      <c r="E47" s="10"/>
      <c r="F47" s="10"/>
      <c r="G47" s="10"/>
    </row>
    <row r="48" customFormat="false" ht="25.5" hidden="false" customHeight="true" outlineLevel="0" collapsed="false">
      <c r="B48" s="9" t="s">
        <v>203</v>
      </c>
      <c r="C48" s="63" t="s">
        <v>204</v>
      </c>
      <c r="D48" s="10" t="s">
        <v>205</v>
      </c>
      <c r="E48" s="10"/>
      <c r="F48" s="10"/>
      <c r="G48" s="10"/>
    </row>
    <row r="50" customFormat="false" ht="25.5" hidden="false" customHeight="true" outlineLevel="0" collapsed="false">
      <c r="B50" s="17" t="s">
        <v>206</v>
      </c>
      <c r="C50" s="17"/>
      <c r="D50" s="17"/>
      <c r="E50" s="17"/>
      <c r="F50" s="17"/>
      <c r="G50" s="17"/>
    </row>
    <row r="52" customFormat="false" ht="15" hidden="false" customHeight="true" outlineLevel="0" collapsed="false">
      <c r="B52" s="4" t="s">
        <v>207</v>
      </c>
      <c r="C52" s="4"/>
      <c r="D52" s="4"/>
      <c r="E52" s="4"/>
      <c r="F52" s="4"/>
      <c r="G52" s="4"/>
    </row>
    <row r="53" customFormat="false" ht="15" hidden="false" customHeight="true" outlineLevel="0" collapsed="false">
      <c r="B53" s="13" t="s">
        <v>208</v>
      </c>
      <c r="C53" s="56" t="n">
        <v>0.05</v>
      </c>
    </row>
    <row r="54" customFormat="false" ht="15" hidden="false" customHeight="true" outlineLevel="0" collapsed="false">
      <c r="B54" s="13" t="s">
        <v>209</v>
      </c>
      <c r="C54" s="54" t="n">
        <f aca="false">(1-$C$33-$C$53)*C13</f>
        <v>0.571042471042471</v>
      </c>
    </row>
    <row r="55" customFormat="false" ht="15" hidden="false" customHeight="true" outlineLevel="0" collapsed="false">
      <c r="B55" s="13" t="s">
        <v>210</v>
      </c>
      <c r="C55" s="54" t="n">
        <f aca="false">(1-$C$33-$C$53)*C14</f>
        <v>0.428281853281853</v>
      </c>
    </row>
    <row r="56" customFormat="false" ht="25.5" hidden="false" customHeight="true" outlineLevel="0" collapsed="false">
      <c r="B56" s="17" t="s">
        <v>211</v>
      </c>
      <c r="C56" s="17"/>
      <c r="D56" s="17"/>
      <c r="E56" s="17"/>
      <c r="F56" s="17"/>
      <c r="G56" s="17"/>
    </row>
    <row r="58" customFormat="false" ht="15" hidden="false" customHeight="true" outlineLevel="0" collapsed="false">
      <c r="B58" s="4" t="s">
        <v>212</v>
      </c>
      <c r="C58" s="4"/>
      <c r="D58" s="4"/>
      <c r="E58" s="4"/>
      <c r="F58" s="4"/>
      <c r="G58" s="4"/>
    </row>
    <row r="59" customFormat="false" ht="24" hidden="false" customHeight="true" outlineLevel="0" collapsed="false">
      <c r="B59" s="17" t="s">
        <v>213</v>
      </c>
      <c r="C59" s="17"/>
      <c r="D59" s="17"/>
      <c r="E59" s="17"/>
      <c r="F59" s="17"/>
      <c r="G59" s="17"/>
    </row>
    <row r="61" customFormat="false" ht="15" hidden="false" customHeight="true" outlineLevel="0" collapsed="false">
      <c r="B61" s="11"/>
      <c r="C61" s="21" t="s">
        <v>161</v>
      </c>
      <c r="D61" s="21" t="s">
        <v>214</v>
      </c>
      <c r="E61" s="21" t="s">
        <v>215</v>
      </c>
      <c r="F61" s="21" t="s">
        <v>162</v>
      </c>
      <c r="G61" s="21" t="s">
        <v>163</v>
      </c>
      <c r="H61" s="21" t="s">
        <v>164</v>
      </c>
    </row>
    <row r="62" customFormat="false" ht="15" hidden="false" customHeight="true" outlineLevel="0" collapsed="false">
      <c r="B62" s="5" t="s">
        <v>7</v>
      </c>
      <c r="C62" s="53" t="n">
        <f aca="false">(1-$C$33-$C$53)*C12</f>
        <v>0.728571428571429</v>
      </c>
      <c r="D62" s="23" t="n">
        <f aca="false">$C$33*C12</f>
        <v>0.0857142857142857</v>
      </c>
      <c r="E62" s="23" t="n">
        <f aca="false">$C$53*C12</f>
        <v>0.0428571428571429</v>
      </c>
      <c r="F62" s="23" t="n">
        <f aca="false">D12</f>
        <v>0.142857142857143</v>
      </c>
      <c r="G62" s="48" t="s">
        <v>166</v>
      </c>
      <c r="H62" s="48" t="s">
        <v>166</v>
      </c>
    </row>
    <row r="63" customFormat="false" ht="15" hidden="false" customHeight="true" outlineLevel="0" collapsed="false">
      <c r="B63" s="5" t="s">
        <v>4</v>
      </c>
      <c r="C63" s="53" t="n">
        <f aca="false">(1-$C$33-$C$53)*C13</f>
        <v>0.571042471042471</v>
      </c>
      <c r="D63" s="23" t="n">
        <f aca="false">$C$33*C13</f>
        <v>0.0671814671814672</v>
      </c>
      <c r="E63" s="23" t="n">
        <f aca="false">$C$53*C13</f>
        <v>0.0335907335907336</v>
      </c>
      <c r="F63" s="23" t="n">
        <f aca="false">D13</f>
        <v>0.111969111969112</v>
      </c>
      <c r="G63" s="23" t="n">
        <f aca="false">E13</f>
        <v>0.216216216216216</v>
      </c>
      <c r="H63" s="48" t="s">
        <v>166</v>
      </c>
    </row>
    <row r="64" customFormat="false" ht="15" hidden="false" customHeight="true" outlineLevel="0" collapsed="false">
      <c r="B64" s="5" t="s">
        <v>10</v>
      </c>
      <c r="C64" s="53" t="n">
        <f aca="false">(1-$C$33-$C$53)*C14</f>
        <v>0.428281853281853</v>
      </c>
      <c r="D64" s="23" t="n">
        <f aca="false">$C$33*C14</f>
        <v>0.0503861003861004</v>
      </c>
      <c r="E64" s="23" t="n">
        <f aca="false">$C$53*C14</f>
        <v>0.0251930501930502</v>
      </c>
      <c r="F64" s="23" t="n">
        <f aca="false">D14</f>
        <v>0.083976833976834</v>
      </c>
      <c r="G64" s="23" t="n">
        <f aca="false">E14</f>
        <v>0.162162162162162</v>
      </c>
      <c r="H64" s="23" t="n">
        <f aca="false">G8</f>
        <v>0.25</v>
      </c>
    </row>
    <row r="65" customFormat="false" ht="15" hidden="false" customHeight="true" outlineLevel="0" collapsed="false">
      <c r="B65" s="32"/>
      <c r="C65" s="49"/>
    </row>
    <row r="66" customFormat="false" ht="15" hidden="false" customHeight="true" outlineLevel="0" collapsed="false">
      <c r="B66" s="32" t="s">
        <v>216</v>
      </c>
      <c r="C66" s="64" t="n">
        <f aca="false">C62+D62+E62+F62</f>
        <v>1</v>
      </c>
      <c r="D66" s="64" t="n">
        <f aca="false">C63+D63+E63+F63+G63</f>
        <v>1</v>
      </c>
      <c r="E66" s="64" t="n">
        <f aca="false">C64+D64+E64+F64+G64+H64</f>
        <v>1</v>
      </c>
    </row>
  </sheetData>
  <mergeCells count="22">
    <mergeCell ref="B1:G1"/>
    <mergeCell ref="B2:G2"/>
    <mergeCell ref="B4:G4"/>
    <mergeCell ref="B10:G10"/>
    <mergeCell ref="B17:G17"/>
    <mergeCell ref="B22:G22"/>
    <mergeCell ref="B24:G24"/>
    <mergeCell ref="B32:G32"/>
    <mergeCell ref="B34:G34"/>
    <mergeCell ref="C41:E41"/>
    <mergeCell ref="B42:G42"/>
    <mergeCell ref="B43:G43"/>
    <mergeCell ref="B44:G44"/>
    <mergeCell ref="D45:G45"/>
    <mergeCell ref="D46:G46"/>
    <mergeCell ref="D47:G47"/>
    <mergeCell ref="D48:G48"/>
    <mergeCell ref="B50:G50"/>
    <mergeCell ref="B52:G52"/>
    <mergeCell ref="B56:G56"/>
    <mergeCell ref="B58:G58"/>
    <mergeCell ref="B59:G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6"/>
    <col collapsed="false" customWidth="true" hidden="false" outlineLevel="0" max="8" min="3" style="1" width="14"/>
  </cols>
  <sheetData>
    <row r="1" customFormat="false" ht="19.5" hidden="false" customHeight="true" outlineLevel="0" collapsed="false">
      <c r="B1" s="2" t="s">
        <v>217</v>
      </c>
      <c r="C1" s="2"/>
      <c r="D1" s="2"/>
      <c r="E1" s="2"/>
      <c r="F1" s="2"/>
      <c r="G1" s="2"/>
      <c r="H1" s="2"/>
    </row>
    <row r="2" customFormat="false" ht="15" hidden="false" customHeight="true" outlineLevel="0" collapsed="false">
      <c r="B2" s="3" t="s">
        <v>218</v>
      </c>
      <c r="C2" s="3"/>
      <c r="D2" s="3"/>
      <c r="E2" s="3"/>
      <c r="F2" s="3"/>
      <c r="G2" s="3"/>
      <c r="H2" s="3"/>
    </row>
    <row r="4" customFormat="false" ht="15" hidden="false" customHeight="true" outlineLevel="0" collapsed="false">
      <c r="B4" s="4" t="s">
        <v>219</v>
      </c>
      <c r="C4" s="4"/>
      <c r="D4" s="4"/>
      <c r="E4" s="4"/>
      <c r="F4" s="4"/>
      <c r="G4" s="4"/>
      <c r="H4" s="4"/>
    </row>
    <row r="5" customFormat="false" ht="15" hidden="false" customHeight="true" outlineLevel="0" collapsed="false">
      <c r="B5" s="11"/>
      <c r="C5" s="21" t="s">
        <v>220</v>
      </c>
      <c r="D5" s="21" t="s">
        <v>221</v>
      </c>
      <c r="E5" s="21" t="s">
        <v>222</v>
      </c>
    </row>
    <row r="6" customFormat="false" ht="15" hidden="false" customHeight="true" outlineLevel="0" collapsed="false">
      <c r="B6" s="13" t="s">
        <v>223</v>
      </c>
      <c r="C6" s="65" t="n">
        <v>3</v>
      </c>
      <c r="D6" s="65" t="n">
        <v>5</v>
      </c>
      <c r="E6" s="65" t="n">
        <v>8</v>
      </c>
    </row>
    <row r="7" customFormat="false" ht="15" hidden="false" customHeight="true" outlineLevel="0" collapsed="false">
      <c r="B7" s="13" t="s">
        <v>224</v>
      </c>
      <c r="C7" s="65" t="n">
        <v>6</v>
      </c>
      <c r="D7" s="65" t="n">
        <v>10</v>
      </c>
      <c r="E7" s="65" t="n">
        <v>15</v>
      </c>
    </row>
    <row r="9" customFormat="false" ht="25.5" hidden="false" customHeight="true" outlineLevel="0" collapsed="false">
      <c r="B9" s="17" t="s">
        <v>225</v>
      </c>
      <c r="C9" s="17"/>
      <c r="D9" s="17"/>
      <c r="E9" s="17"/>
      <c r="F9" s="17"/>
      <c r="G9" s="17"/>
      <c r="H9" s="17"/>
    </row>
    <row r="11" customFormat="false" ht="15" hidden="false" customHeight="true" outlineLevel="0" collapsed="false">
      <c r="B11" s="4" t="s">
        <v>226</v>
      </c>
      <c r="C11" s="4"/>
      <c r="D11" s="4"/>
      <c r="E11" s="4"/>
      <c r="F11" s="4"/>
      <c r="G11" s="4"/>
      <c r="H11" s="4"/>
    </row>
    <row r="12" customFormat="false" ht="15" hidden="false" customHeight="true" outlineLevel="0" collapsed="false">
      <c r="B12" s="11"/>
      <c r="C12" s="21" t="s">
        <v>7</v>
      </c>
      <c r="D12" s="21" t="s">
        <v>4</v>
      </c>
      <c r="E12" s="21" t="s">
        <v>10</v>
      </c>
    </row>
    <row r="13" customFormat="false" ht="15" hidden="false" customHeight="true" outlineLevel="0" collapsed="false">
      <c r="B13" s="13" t="s">
        <v>20</v>
      </c>
      <c r="C13" s="14" t="n">
        <f aca="false">Scenarios!I6</f>
        <v>11816789</v>
      </c>
      <c r="D13" s="14" t="n">
        <f aca="false">Scenarios!I7</f>
        <v>60581809</v>
      </c>
      <c r="E13" s="14" t="n">
        <f aca="false">Scenarios!I8</f>
        <v>91343109</v>
      </c>
    </row>
    <row r="14" customFormat="false" ht="15" hidden="false" customHeight="true" outlineLevel="0" collapsed="false">
      <c r="B14" s="13" t="s">
        <v>227</v>
      </c>
      <c r="C14" s="22" t="n">
        <f aca="false">'COGS &amp; Overhead Build'!C96</f>
        <v>1669900</v>
      </c>
      <c r="D14" s="22" t="n">
        <f aca="false">'COGS &amp; Overhead Build'!D96</f>
        <v>6584600</v>
      </c>
      <c r="E14" s="22" t="n">
        <f aca="false">'COGS &amp; Overhead Build'!E96</f>
        <v>9841400</v>
      </c>
    </row>
    <row r="15" customFormat="false" ht="15" hidden="false" customHeight="true" outlineLevel="0" collapsed="false">
      <c r="B15" s="13" t="s">
        <v>228</v>
      </c>
      <c r="C15" s="14" t="n">
        <f aca="false">'S&amp;M Build'!I16+'Product &amp; Data Eng Build'!I15+'G&amp;A &amp; Exec Comp Build'!I24</f>
        <v>3840000</v>
      </c>
      <c r="D15" s="14" t="n">
        <f aca="false">'S&amp;M Build'!I23+'Product &amp; Data Eng Build'!I21+'G&amp;A &amp; Exec Comp Build'!I25</f>
        <v>19970000</v>
      </c>
      <c r="E15" s="14" t="n">
        <f aca="false">'S&amp;M Build'!I30+'Product &amp; Data Eng Build'!I27+'G&amp;A &amp; Exec Comp Build'!I26</f>
        <v>31670000</v>
      </c>
    </row>
    <row r="16" customFormat="false" ht="15" hidden="false" customHeight="true" outlineLevel="0" collapsed="false">
      <c r="B16" s="5" t="s">
        <v>229</v>
      </c>
      <c r="C16" s="28" t="n">
        <f aca="false">C13-C14-C15</f>
        <v>6306889</v>
      </c>
      <c r="D16" s="28" t="n">
        <f aca="false">D13-D14-D15</f>
        <v>34027209</v>
      </c>
      <c r="E16" s="28" t="n">
        <f aca="false">E13-E14-E15</f>
        <v>49831709</v>
      </c>
    </row>
    <row r="17" customFormat="false" ht="15" hidden="false" customHeight="true" outlineLevel="0" collapsed="false">
      <c r="B17" s="17" t="s">
        <v>230</v>
      </c>
      <c r="C17" s="17"/>
      <c r="D17" s="17"/>
      <c r="E17" s="17"/>
      <c r="F17" s="17"/>
      <c r="G17" s="17"/>
      <c r="H17" s="17"/>
    </row>
    <row r="19" customFormat="false" ht="15" hidden="false" customHeight="true" outlineLevel="0" collapsed="false">
      <c r="B19" s="4" t="s">
        <v>231</v>
      </c>
      <c r="C19" s="4"/>
      <c r="D19" s="4"/>
      <c r="E19" s="4"/>
      <c r="F19" s="4"/>
      <c r="G19" s="4"/>
      <c r="H19" s="4"/>
    </row>
    <row r="20" customFormat="false" ht="15" hidden="false" customHeight="true" outlineLevel="0" collapsed="false">
      <c r="B20" s="11"/>
      <c r="C20" s="21" t="s">
        <v>220</v>
      </c>
      <c r="D20" s="21" t="s">
        <v>221</v>
      </c>
      <c r="E20" s="21" t="s">
        <v>222</v>
      </c>
    </row>
    <row r="21" customFormat="false" ht="15" hidden="false" customHeight="true" outlineLevel="0" collapsed="false">
      <c r="B21" s="13" t="s">
        <v>7</v>
      </c>
      <c r="C21" s="22" t="n">
        <f aca="false">C13*$C$6</f>
        <v>35450367</v>
      </c>
      <c r="D21" s="22" t="n">
        <f aca="false">C13*$D$6</f>
        <v>59083945</v>
      </c>
      <c r="E21" s="22" t="n">
        <f aca="false">C13*$E$6</f>
        <v>94534312</v>
      </c>
    </row>
    <row r="22" customFormat="false" ht="15" hidden="false" customHeight="true" outlineLevel="0" collapsed="false">
      <c r="B22" s="13" t="s">
        <v>4</v>
      </c>
      <c r="C22" s="22" t="n">
        <f aca="false">D13*$C$6</f>
        <v>181745427</v>
      </c>
      <c r="D22" s="22" t="n">
        <f aca="false">D13*$D$6</f>
        <v>302909045</v>
      </c>
      <c r="E22" s="22" t="n">
        <f aca="false">D13*$E$6</f>
        <v>484654472</v>
      </c>
    </row>
    <row r="23" customFormat="false" ht="15" hidden="false" customHeight="true" outlineLevel="0" collapsed="false">
      <c r="B23" s="13" t="s">
        <v>10</v>
      </c>
      <c r="C23" s="22" t="n">
        <f aca="false">E13*$C$6</f>
        <v>274029327</v>
      </c>
      <c r="D23" s="22" t="n">
        <f aca="false">E13*$D$6</f>
        <v>456715545</v>
      </c>
      <c r="E23" s="22" t="n">
        <f aca="false">E13*$E$6</f>
        <v>730744872</v>
      </c>
    </row>
    <row r="25" customFormat="false" ht="15" hidden="false" customHeight="true" outlineLevel="0" collapsed="false">
      <c r="B25" s="4" t="s">
        <v>232</v>
      </c>
      <c r="C25" s="4"/>
      <c r="D25" s="4"/>
      <c r="E25" s="4"/>
      <c r="F25" s="4"/>
      <c r="G25" s="4"/>
      <c r="H25" s="4"/>
    </row>
    <row r="26" customFormat="false" ht="15" hidden="false" customHeight="true" outlineLevel="0" collapsed="false">
      <c r="B26" s="11"/>
      <c r="C26" s="21" t="s">
        <v>220</v>
      </c>
      <c r="D26" s="21" t="s">
        <v>221</v>
      </c>
      <c r="E26" s="21" t="s">
        <v>222</v>
      </c>
    </row>
    <row r="27" customFormat="false" ht="15" hidden="false" customHeight="true" outlineLevel="0" collapsed="false">
      <c r="B27" s="5" t="s">
        <v>7</v>
      </c>
      <c r="C27" s="27" t="n">
        <f aca="false">C16*$C$7</f>
        <v>37841334</v>
      </c>
      <c r="D27" s="27" t="n">
        <f aca="false">C16*$D$7</f>
        <v>63068890</v>
      </c>
      <c r="E27" s="27" t="n">
        <f aca="false">C16*$E$7</f>
        <v>94603335</v>
      </c>
    </row>
    <row r="28" customFormat="false" ht="15" hidden="false" customHeight="true" outlineLevel="0" collapsed="false">
      <c r="B28" s="5" t="s">
        <v>4</v>
      </c>
      <c r="C28" s="27" t="n">
        <f aca="false">D16*$C$7</f>
        <v>204163254</v>
      </c>
      <c r="D28" s="27" t="n">
        <f aca="false">D16*$D$7</f>
        <v>340272090</v>
      </c>
      <c r="E28" s="27" t="n">
        <f aca="false">D16*$E$7</f>
        <v>510408135</v>
      </c>
    </row>
    <row r="29" customFormat="false" ht="15" hidden="false" customHeight="true" outlineLevel="0" collapsed="false">
      <c r="B29" s="5" t="s">
        <v>10</v>
      </c>
      <c r="C29" s="27" t="n">
        <f aca="false">E16*$C$7</f>
        <v>298990254</v>
      </c>
      <c r="D29" s="27" t="n">
        <f aca="false">E16*$D$7</f>
        <v>498317090</v>
      </c>
      <c r="E29" s="27" t="n">
        <f aca="false">E16*$E$7</f>
        <v>747475635</v>
      </c>
    </row>
    <row r="31" customFormat="false" ht="15" hidden="false" customHeight="true" outlineLevel="0" collapsed="false">
      <c r="B31" s="4" t="s">
        <v>233</v>
      </c>
      <c r="C31" s="4"/>
      <c r="D31" s="4"/>
      <c r="E31" s="4"/>
      <c r="F31" s="4"/>
      <c r="G31" s="4"/>
      <c r="H31" s="4"/>
    </row>
    <row r="33" customFormat="false" ht="15" hidden="false" customHeight="true" outlineLevel="0" collapsed="false">
      <c r="B33" s="66" t="s">
        <v>234</v>
      </c>
    </row>
    <row r="34" customFormat="false" ht="15" hidden="false" customHeight="true" outlineLevel="0" collapsed="false">
      <c r="B34" s="11"/>
      <c r="C34" s="21" t="s">
        <v>235</v>
      </c>
      <c r="D34" s="21" t="s">
        <v>236</v>
      </c>
      <c r="E34" s="21" t="s">
        <v>237</v>
      </c>
      <c r="F34" s="21" t="s">
        <v>238</v>
      </c>
      <c r="G34" s="21" t="s">
        <v>239</v>
      </c>
    </row>
    <row r="35" customFormat="false" ht="15" hidden="false" customHeight="true" outlineLevel="0" collapsed="false">
      <c r="B35" s="13" t="s">
        <v>161</v>
      </c>
      <c r="C35" s="67" t="s">
        <v>240</v>
      </c>
      <c r="D35" s="18" t="n">
        <f aca="false">'Cap Table'!C62</f>
        <v>0.728571428571429</v>
      </c>
      <c r="E35" s="30" t="str">
        <f aca="false">TEXT($C$27*D35,"$#,##0,,")&amp;"M  -  "&amp;TEXT($E$27*D35,"$#,##0,,")&amp;"M"</f>
        <v>$28M  -  $69M</v>
      </c>
      <c r="F35" s="68" t="s">
        <v>241</v>
      </c>
      <c r="G35" s="68" t="s">
        <v>241</v>
      </c>
    </row>
    <row r="36" customFormat="false" ht="15" hidden="false" customHeight="true" outlineLevel="0" collapsed="false">
      <c r="B36" s="13" t="s">
        <v>162</v>
      </c>
      <c r="C36" s="22" t="n">
        <f aca="false">'Cap Table'!$D$6</f>
        <v>1000000</v>
      </c>
      <c r="D36" s="18" t="n">
        <f aca="false">'Cap Table'!F62</f>
        <v>0.142857142857143</v>
      </c>
      <c r="E36" s="30" t="str">
        <f aca="false">TEXT($C$27*D36,"$#,##0,,")&amp;"M  -  "&amp;TEXT($E$27*D36,"$#,##0,,")&amp;"M"</f>
        <v>$5M  -  $14M</v>
      </c>
      <c r="F36" s="30" t="str">
        <f aca="false">TEXT($C$27*D36/$C$36,"0.0")&amp;"x  -  "&amp;TEXT($E$27*D36/$C$36,"0.0")&amp;"x"</f>
        <v>5.4x  -  13.5x</v>
      </c>
      <c r="G36" s="30" t="str">
        <f aca="false">TEXT(($C$27*D36/$C$36)^(1/7)-1,"0%")&amp;"  -  "&amp;TEXT(($E$27*D36/$C$36)^(1/7)-1,"0%")</f>
        <v>27%  -  45%</v>
      </c>
    </row>
    <row r="37" customFormat="false" ht="15" hidden="false" customHeight="true" outlineLevel="0" collapsed="false">
      <c r="B37" s="32" t="s">
        <v>242</v>
      </c>
      <c r="C37" s="67" t="s">
        <v>243</v>
      </c>
      <c r="D37" s="49" t="n">
        <f aca="false">'Cap Table'!D62</f>
        <v>0.0857142857142857</v>
      </c>
      <c r="E37" s="67" t="str">
        <f aca="false">TEXT($C$27*D37,"$#,##0,,")&amp;"M  -  "&amp;TEXT($E$27*D37,"$#,##0,,")&amp;"M"</f>
        <v>$3M  -  $8M</v>
      </c>
      <c r="F37" s="67" t="s">
        <v>241</v>
      </c>
      <c r="G37" s="67" t="s">
        <v>241</v>
      </c>
    </row>
    <row r="38" customFormat="false" ht="15" hidden="false" customHeight="true" outlineLevel="0" collapsed="false">
      <c r="B38" s="66" t="s">
        <v>244</v>
      </c>
    </row>
    <row r="39" customFormat="false" ht="15" hidden="false" customHeight="true" outlineLevel="0" collapsed="false">
      <c r="B39" s="11"/>
      <c r="C39" s="21" t="s">
        <v>235</v>
      </c>
      <c r="D39" s="21" t="s">
        <v>236</v>
      </c>
      <c r="E39" s="21" t="s">
        <v>237</v>
      </c>
      <c r="F39" s="21" t="s">
        <v>238</v>
      </c>
      <c r="G39" s="21" t="s">
        <v>239</v>
      </c>
    </row>
    <row r="40" customFormat="false" ht="15" hidden="false" customHeight="true" outlineLevel="0" collapsed="false">
      <c r="B40" s="13" t="s">
        <v>161</v>
      </c>
      <c r="C40" s="67" t="s">
        <v>240</v>
      </c>
      <c r="D40" s="18" t="n">
        <f aca="false">'Cap Table'!C63</f>
        <v>0.571042471042471</v>
      </c>
      <c r="E40" s="30" t="str">
        <f aca="false">TEXT($C$28*D40,"$#,##0,,")&amp;"M  -  "&amp;TEXT($E$28*D40,"$#,##0,,")&amp;"M"</f>
        <v>$117M  -  $291M</v>
      </c>
      <c r="F40" s="68" t="s">
        <v>241</v>
      </c>
      <c r="G40" s="68" t="s">
        <v>241</v>
      </c>
    </row>
    <row r="41" customFormat="false" ht="15" hidden="false" customHeight="true" outlineLevel="0" collapsed="false">
      <c r="B41" s="13" t="s">
        <v>162</v>
      </c>
      <c r="C41" s="22" t="n">
        <f aca="false">'Cap Table'!$D$6</f>
        <v>1000000</v>
      </c>
      <c r="D41" s="18" t="n">
        <f aca="false">'Cap Table'!F63</f>
        <v>0.111969111969112</v>
      </c>
      <c r="E41" s="30" t="str">
        <f aca="false">TEXT($C$28*D41,"$#,##0,,")&amp;"M  -  "&amp;TEXT($E$28*D41,"$#,##0,,")&amp;"M"</f>
        <v>$23M  -  $57M</v>
      </c>
      <c r="F41" s="30" t="str">
        <f aca="false">TEXT($C$28*D41/$C$41,"0.0")&amp;"x  -  "&amp;TEXT($E$28*D41/$C$41,"0.0")&amp;"x"</f>
        <v>22.9x  -  57.1x</v>
      </c>
      <c r="G41" s="30" t="str">
        <f aca="false">TEXT(($C$28*D41/$C$41)^(1/7)-1,"0%")&amp;"  -  "&amp;TEXT(($E$28*D41/$C$41)^(1/7)-1,"0%")</f>
        <v>56%  -  78%</v>
      </c>
    </row>
    <row r="42" customFormat="false" ht="15" hidden="false" customHeight="true" outlineLevel="0" collapsed="false">
      <c r="B42" s="13" t="s">
        <v>163</v>
      </c>
      <c r="C42" s="22" t="n">
        <f aca="false">'Cap Table'!$D$7</f>
        <v>8000000</v>
      </c>
      <c r="D42" s="18" t="n">
        <f aca="false">'Cap Table'!G63</f>
        <v>0.216216216216216</v>
      </c>
      <c r="E42" s="30" t="str">
        <f aca="false">TEXT($C$28*D42,"$#,##0,,")&amp;"M  -  "&amp;TEXT($E$28*D42,"$#,##0,,")&amp;"M"</f>
        <v>$44M  -  $110M</v>
      </c>
      <c r="F42" s="30" t="str">
        <f aca="false">TEXT($C$28*D42/$C$42,"0.0")&amp;"x  -  "&amp;TEXT($E$28*D42/$C$42,"0.0")&amp;"x"</f>
        <v>5.5x  -  13.8x</v>
      </c>
      <c r="G42" s="30" t="str">
        <f aca="false">TEXT(($C$28*D42/$C$42)^(1/4)-1,"0%")&amp;"  -  "&amp;TEXT(($E$28*D42/$C$42)^(1/4)-1,"0%")</f>
        <v>53%  -  93%</v>
      </c>
    </row>
    <row r="43" customFormat="false" ht="15" hidden="false" customHeight="true" outlineLevel="0" collapsed="false">
      <c r="B43" s="32" t="s">
        <v>242</v>
      </c>
      <c r="C43" s="67" t="s">
        <v>243</v>
      </c>
      <c r="D43" s="49" t="n">
        <f aca="false">'Cap Table'!D63</f>
        <v>0.0671814671814672</v>
      </c>
      <c r="E43" s="67" t="str">
        <f aca="false">TEXT($C$28*D43,"$#,##0,,")&amp;"M  -  "&amp;TEXT($E$28*D43,"$#,##0,,")&amp;"M"</f>
        <v>$14M  -  $34M</v>
      </c>
      <c r="F43" s="67" t="s">
        <v>241</v>
      </c>
      <c r="G43" s="67" t="s">
        <v>241</v>
      </c>
    </row>
    <row r="44" customFormat="false" ht="15" hidden="false" customHeight="true" outlineLevel="0" collapsed="false">
      <c r="B44" s="66" t="s">
        <v>245</v>
      </c>
    </row>
    <row r="45" customFormat="false" ht="15" hidden="false" customHeight="true" outlineLevel="0" collapsed="false">
      <c r="B45" s="11"/>
      <c r="C45" s="21" t="s">
        <v>235</v>
      </c>
      <c r="D45" s="21" t="s">
        <v>236</v>
      </c>
      <c r="E45" s="21" t="s">
        <v>237</v>
      </c>
      <c r="F45" s="21" t="s">
        <v>238</v>
      </c>
      <c r="G45" s="21" t="s">
        <v>239</v>
      </c>
    </row>
    <row r="46" customFormat="false" ht="15" hidden="false" customHeight="true" outlineLevel="0" collapsed="false">
      <c r="B46" s="13" t="s">
        <v>161</v>
      </c>
      <c r="C46" s="67" t="s">
        <v>240</v>
      </c>
      <c r="D46" s="18" t="n">
        <f aca="false">'Cap Table'!C64</f>
        <v>0.428281853281853</v>
      </c>
      <c r="E46" s="30" t="str">
        <f aca="false">TEXT($C$29*D46,"$#,##0,,")&amp;"M  -  "&amp;TEXT($E$29*D46,"$#,##0,,")&amp;"M"</f>
        <v>$128M  -  $320M</v>
      </c>
      <c r="F46" s="68" t="s">
        <v>241</v>
      </c>
      <c r="G46" s="68" t="s">
        <v>241</v>
      </c>
    </row>
    <row r="47" customFormat="false" ht="15" hidden="false" customHeight="true" outlineLevel="0" collapsed="false">
      <c r="B47" s="13" t="s">
        <v>162</v>
      </c>
      <c r="C47" s="22" t="n">
        <f aca="false">'Cap Table'!$D$6</f>
        <v>1000000</v>
      </c>
      <c r="D47" s="18" t="n">
        <f aca="false">'Cap Table'!F64</f>
        <v>0.083976833976834</v>
      </c>
      <c r="E47" s="30" t="str">
        <f aca="false">TEXT($C$29*D47,"$#,##0,,")&amp;"M  -  "&amp;TEXT($E$29*D47,"$#,##0,,")&amp;"M"</f>
        <v>$25M  -  $63M</v>
      </c>
      <c r="F47" s="30" t="str">
        <f aca="false">TEXT($C$29*D47/$C$47,"0.0")&amp;"x  -  "&amp;TEXT($E$29*D47/$C$47,"0.0")&amp;"x"</f>
        <v>25.1x  -  62.8x</v>
      </c>
      <c r="G47" s="30" t="str">
        <f aca="false">TEXT(($C$29*D47/$C$47)^(1/7)-1,"0%")&amp;"  -  "&amp;TEXT(($E$29*D47/$C$47)^(1/7)-1,"0%")</f>
        <v>58%  -  81%</v>
      </c>
    </row>
    <row r="48" customFormat="false" ht="15" hidden="false" customHeight="true" outlineLevel="0" collapsed="false">
      <c r="B48" s="13" t="s">
        <v>163</v>
      </c>
      <c r="C48" s="22" t="n">
        <f aca="false">'Cap Table'!$D$7</f>
        <v>8000000</v>
      </c>
      <c r="D48" s="18" t="n">
        <f aca="false">'Cap Table'!G64</f>
        <v>0.162162162162162</v>
      </c>
      <c r="E48" s="30" t="str">
        <f aca="false">TEXT($C$29*D48,"$#,##0,,")&amp;"M  -  "&amp;TEXT($E$29*D48,"$#,##0,,")&amp;"M"</f>
        <v>$48M  -  $121M</v>
      </c>
      <c r="F48" s="30" t="str">
        <f aca="false">TEXT($C$29*D48/$C$48,"0.0")&amp;"x  -  "&amp;TEXT($E$29*D48/$C$48,"0.0")&amp;"x"</f>
        <v>6.1x  -  15.2x</v>
      </c>
      <c r="G48" s="30" t="str">
        <f aca="false">TEXT(($C$29*D48/$C$48)^(1/4)-1,"0%")&amp;"  -  "&amp;TEXT(($E$29*D48/$C$48)^(1/4)-1,"0%")</f>
        <v>57%  -  97%</v>
      </c>
    </row>
    <row r="49" customFormat="false" ht="15" hidden="false" customHeight="true" outlineLevel="0" collapsed="false">
      <c r="B49" s="13" t="s">
        <v>164</v>
      </c>
      <c r="C49" s="22" t="n">
        <f aca="false">'Cap Table'!$D$8</f>
        <v>30000000</v>
      </c>
      <c r="D49" s="18" t="n">
        <f aca="false">'Cap Table'!H64</f>
        <v>0.25</v>
      </c>
      <c r="E49" s="30" t="str">
        <f aca="false">TEXT($C$29*D49,"$#,##0,,")&amp;"M  -  "&amp;TEXT($E$29*D49,"$#,##0,,")&amp;"M"</f>
        <v>$75M  -  $187M</v>
      </c>
      <c r="F49" s="30" t="str">
        <f aca="false">TEXT($C$29*D49/$C$49,"0.0")&amp;"x  -  "&amp;TEXT($E$29*D49/$C$49,"0.0")&amp;"x"</f>
        <v>2.5x  -  6.2x</v>
      </c>
      <c r="G49" s="30" t="str">
        <f aca="false">TEXT(($C$29*D49/$C$49)^(1/3)-1,"0%")&amp;"  -  "&amp;TEXT(($E$29*D49/$C$49)^(1/3)-1,"0%")</f>
        <v>36%  -  84%</v>
      </c>
    </row>
    <row r="50" customFormat="false" ht="15" hidden="false" customHeight="true" outlineLevel="0" collapsed="false">
      <c r="B50" s="41" t="s">
        <v>242</v>
      </c>
      <c r="C50" s="67" t="s">
        <v>243</v>
      </c>
      <c r="D50" s="69" t="n">
        <f aca="false">'Cap Table'!D64</f>
        <v>0.0503861003861004</v>
      </c>
      <c r="E50" s="38" t="str">
        <f aca="false">TEXT($C$29*D50,"$#,##0,,")&amp;"M  -  "&amp;TEXT($E$29*D50,"$#,##0,,")&amp;"M"</f>
        <v>$15M  -  $38M</v>
      </c>
      <c r="F50" s="70" t="s">
        <v>241</v>
      </c>
      <c r="G50" s="70" t="s">
        <v>241</v>
      </c>
    </row>
    <row r="51" customFormat="false" ht="15" hidden="false" customHeight="true" outlineLevel="0" collapsed="false">
      <c r="B51" s="4" t="s">
        <v>246</v>
      </c>
      <c r="C51" s="4"/>
      <c r="D51" s="4"/>
      <c r="E51" s="4"/>
      <c r="F51" s="4"/>
      <c r="G51" s="4"/>
      <c r="H51" s="4"/>
    </row>
    <row r="53" customFormat="false" ht="15" hidden="false" customHeight="true" outlineLevel="0" collapsed="false">
      <c r="B53" s="66" t="s">
        <v>234</v>
      </c>
    </row>
    <row r="54" customFormat="false" ht="15" hidden="false" customHeight="true" outlineLevel="0" collapsed="false">
      <c r="B54" s="11"/>
      <c r="C54" s="21" t="s">
        <v>235</v>
      </c>
      <c r="D54" s="21" t="s">
        <v>236</v>
      </c>
      <c r="E54" s="21" t="s">
        <v>237</v>
      </c>
      <c r="F54" s="21" t="s">
        <v>238</v>
      </c>
      <c r="G54" s="21" t="s">
        <v>239</v>
      </c>
    </row>
    <row r="55" customFormat="false" ht="15" hidden="false" customHeight="true" outlineLevel="0" collapsed="false">
      <c r="B55" s="13" t="s">
        <v>161</v>
      </c>
      <c r="C55" s="67" t="s">
        <v>240</v>
      </c>
      <c r="D55" s="18" t="n">
        <f aca="false">'Cap Table'!C62</f>
        <v>0.728571428571429</v>
      </c>
      <c r="E55" s="30" t="str">
        <f aca="false">TEXT($C$21*D55,"$#,##0,,")&amp;"M  -  "&amp;TEXT($E$21*D55,"$#,##0,,")&amp;"M"</f>
        <v>$26M  -  $69M</v>
      </c>
      <c r="F55" s="68" t="s">
        <v>241</v>
      </c>
      <c r="G55" s="68" t="s">
        <v>241</v>
      </c>
    </row>
    <row r="56" customFormat="false" ht="15" hidden="false" customHeight="true" outlineLevel="0" collapsed="false">
      <c r="B56" s="13" t="s">
        <v>162</v>
      </c>
      <c r="C56" s="22" t="n">
        <f aca="false">'Cap Table'!$D$6</f>
        <v>1000000</v>
      </c>
      <c r="D56" s="18" t="n">
        <f aca="false">'Cap Table'!F62</f>
        <v>0.142857142857143</v>
      </c>
      <c r="E56" s="30" t="str">
        <f aca="false">TEXT($C$21*D56,"$#,##0,,")&amp;"M  -  "&amp;TEXT($E$21*D56,"$#,##0,,")&amp;"M"</f>
        <v>$5M  -  $14M</v>
      </c>
      <c r="F56" s="30" t="str">
        <f aca="false">TEXT($C$21*D56/$C$56,"0.0")&amp;"x  -  "&amp;TEXT($E$21*D56/$C$56,"0.0")&amp;"x"</f>
        <v>5.1x  -  13.5x</v>
      </c>
      <c r="G56" s="30" t="str">
        <f aca="false">TEXT(($C$21*D56/$C$56)^(1/7)-1,"0%")&amp;"  -  "&amp;TEXT(($E$21*D56/$C$56)^(1/7)-1,"0%")</f>
        <v>26%  -  45%</v>
      </c>
    </row>
    <row r="57" customFormat="false" ht="15" hidden="false" customHeight="true" outlineLevel="0" collapsed="false">
      <c r="B57" s="41" t="s">
        <v>242</v>
      </c>
      <c r="C57" s="67" t="s">
        <v>243</v>
      </c>
      <c r="D57" s="69" t="n">
        <f aca="false">'Cap Table'!D62</f>
        <v>0.0857142857142857</v>
      </c>
      <c r="E57" s="38" t="str">
        <f aca="false">TEXT($C$21*D57,"$#,##0,,")&amp;"M  -  "&amp;TEXT($E$21*D57,"$#,##0,,")&amp;"M"</f>
        <v>$3M  -  $8M</v>
      </c>
      <c r="F57" s="70" t="s">
        <v>241</v>
      </c>
      <c r="G57" s="70" t="s">
        <v>241</v>
      </c>
    </row>
    <row r="58" customFormat="false" ht="15" hidden="false" customHeight="true" outlineLevel="0" collapsed="false">
      <c r="B58" s="66" t="s">
        <v>244</v>
      </c>
    </row>
    <row r="59" customFormat="false" ht="15" hidden="false" customHeight="true" outlineLevel="0" collapsed="false">
      <c r="B59" s="11"/>
      <c r="C59" s="21" t="s">
        <v>235</v>
      </c>
      <c r="D59" s="21" t="s">
        <v>236</v>
      </c>
      <c r="E59" s="21" t="s">
        <v>237</v>
      </c>
      <c r="F59" s="21" t="s">
        <v>238</v>
      </c>
      <c r="G59" s="21" t="s">
        <v>239</v>
      </c>
    </row>
    <row r="60" customFormat="false" ht="15" hidden="false" customHeight="true" outlineLevel="0" collapsed="false">
      <c r="B60" s="13" t="s">
        <v>161</v>
      </c>
      <c r="C60" s="67" t="s">
        <v>240</v>
      </c>
      <c r="D60" s="18" t="n">
        <f aca="false">'Cap Table'!C63</f>
        <v>0.571042471042471</v>
      </c>
      <c r="E60" s="30" t="str">
        <f aca="false">TEXT($C$22*D60,"$#,##0,,")&amp;"M  -  "&amp;TEXT($E$22*D60,"$#,##0,,")&amp;"M"</f>
        <v>$104M  -  $277M</v>
      </c>
      <c r="F60" s="68" t="s">
        <v>241</v>
      </c>
      <c r="G60" s="68" t="s">
        <v>241</v>
      </c>
    </row>
    <row r="61" customFormat="false" ht="15" hidden="false" customHeight="true" outlineLevel="0" collapsed="false">
      <c r="B61" s="13" t="s">
        <v>162</v>
      </c>
      <c r="C61" s="22" t="n">
        <f aca="false">'Cap Table'!$D$6</f>
        <v>1000000</v>
      </c>
      <c r="D61" s="18" t="n">
        <f aca="false">'Cap Table'!F63</f>
        <v>0.111969111969112</v>
      </c>
      <c r="E61" s="30" t="str">
        <f aca="false">TEXT($C$22*D61,"$#,##0,,")&amp;"M  -  "&amp;TEXT($E$22*D61,"$#,##0,,")&amp;"M"</f>
        <v>$20M  -  $54M</v>
      </c>
      <c r="F61" s="30" t="str">
        <f aca="false">TEXT($C$22*D61/$C$61,"0.0")&amp;"x  -  "&amp;TEXT($E$22*D61/$C$61,"0.0")&amp;"x"</f>
        <v>20.3x  -  54.3x</v>
      </c>
      <c r="G61" s="30" t="str">
        <f aca="false">TEXT(($C$22*D61/$C$61)^(1/7)-1,"0%")&amp;"  -  "&amp;TEXT(($E$22*D61/$C$61)^(1/7)-1,"0%")</f>
        <v>54%  -  77%</v>
      </c>
    </row>
    <row r="62" customFormat="false" ht="15" hidden="false" customHeight="true" outlineLevel="0" collapsed="false">
      <c r="B62" s="13" t="s">
        <v>163</v>
      </c>
      <c r="C62" s="22" t="n">
        <f aca="false">'Cap Table'!$D$7</f>
        <v>8000000</v>
      </c>
      <c r="D62" s="18" t="n">
        <f aca="false">'Cap Table'!G63</f>
        <v>0.216216216216216</v>
      </c>
      <c r="E62" s="30" t="str">
        <f aca="false">TEXT($C$22*D62,"$#,##0,,")&amp;"M  -  "&amp;TEXT($E$22*D62,"$#,##0,,")&amp;"M"</f>
        <v>$39M  -  $105M</v>
      </c>
      <c r="F62" s="30" t="str">
        <f aca="false">TEXT($C$22*D62/$C$62,"0.0")&amp;"x  -  "&amp;TEXT($E$22*D62/$C$62,"0.0")&amp;"x"</f>
        <v>4.9x  -  13.1x</v>
      </c>
      <c r="G62" s="30" t="str">
        <f aca="false">TEXT(($C$22*D62/$C$62)^(1/4)-1,"0%")&amp;"  -  "&amp;TEXT(($E$22*D62/$C$62)^(1/4)-1,"0%")</f>
        <v>49%  -  90%</v>
      </c>
    </row>
    <row r="63" customFormat="false" ht="15" hidden="false" customHeight="true" outlineLevel="0" collapsed="false">
      <c r="B63" s="41" t="s">
        <v>242</v>
      </c>
      <c r="C63" s="67" t="s">
        <v>243</v>
      </c>
      <c r="D63" s="69" t="n">
        <f aca="false">'Cap Table'!D63</f>
        <v>0.0671814671814672</v>
      </c>
      <c r="E63" s="38" t="str">
        <f aca="false">TEXT($C$22*D63,"$#,##0,,")&amp;"M  -  "&amp;TEXT($E$22*D63,"$#,##0,,")&amp;"M"</f>
        <v>$12M  -  $33M</v>
      </c>
      <c r="F63" s="70" t="s">
        <v>241</v>
      </c>
      <c r="G63" s="70" t="s">
        <v>241</v>
      </c>
    </row>
    <row r="64" customFormat="false" ht="15" hidden="false" customHeight="true" outlineLevel="0" collapsed="false">
      <c r="B64" s="66" t="s">
        <v>245</v>
      </c>
    </row>
    <row r="65" customFormat="false" ht="15" hidden="false" customHeight="true" outlineLevel="0" collapsed="false">
      <c r="B65" s="11"/>
      <c r="C65" s="21" t="s">
        <v>235</v>
      </c>
      <c r="D65" s="21" t="s">
        <v>236</v>
      </c>
      <c r="E65" s="21" t="s">
        <v>237</v>
      </c>
      <c r="F65" s="21" t="s">
        <v>238</v>
      </c>
      <c r="G65" s="21" t="s">
        <v>239</v>
      </c>
    </row>
    <row r="66" customFormat="false" ht="15" hidden="false" customHeight="true" outlineLevel="0" collapsed="false">
      <c r="B66" s="13" t="s">
        <v>161</v>
      </c>
      <c r="C66" s="67" t="s">
        <v>240</v>
      </c>
      <c r="D66" s="18" t="n">
        <f aca="false">'Cap Table'!C64</f>
        <v>0.428281853281853</v>
      </c>
      <c r="E66" s="30" t="str">
        <f aca="false">TEXT($C$23*D66,"$#,##0,,")&amp;"M  -  "&amp;TEXT($E$23*D66,"$#,##0,,")&amp;"M"</f>
        <v>$117M  -  $313M</v>
      </c>
      <c r="F66" s="68" t="s">
        <v>241</v>
      </c>
      <c r="G66" s="68" t="s">
        <v>241</v>
      </c>
    </row>
    <row r="67" customFormat="false" ht="15" hidden="false" customHeight="true" outlineLevel="0" collapsed="false">
      <c r="B67" s="13" t="s">
        <v>162</v>
      </c>
      <c r="C67" s="22" t="n">
        <f aca="false">'Cap Table'!$D$6</f>
        <v>1000000</v>
      </c>
      <c r="D67" s="18" t="n">
        <f aca="false">'Cap Table'!F64</f>
        <v>0.083976833976834</v>
      </c>
      <c r="E67" s="30" t="str">
        <f aca="false">TEXT($C$23*D67,"$#,##0,,")&amp;"M  -  "&amp;TEXT($E$23*D67,"$#,##0,,")&amp;"M"</f>
        <v>$23M  -  $61M</v>
      </c>
      <c r="F67" s="30" t="str">
        <f aca="false">TEXT($C$23*D67/$C$67,"0.0")&amp;"x  -  "&amp;TEXT($E$23*D67/$C$67,"0.0")&amp;"x"</f>
        <v>23.0x  -  61.4x</v>
      </c>
      <c r="G67" s="30" t="str">
        <f aca="false">TEXT(($C$23*D67/$C$67)^(1/7)-1,"0%")&amp;"  -  "&amp;TEXT(($E$23*D67/$C$67)^(1/7)-1,"0%")</f>
        <v>57%  -  80%</v>
      </c>
    </row>
    <row r="68" customFormat="false" ht="15" hidden="false" customHeight="true" outlineLevel="0" collapsed="false">
      <c r="B68" s="13" t="s">
        <v>163</v>
      </c>
      <c r="C68" s="22" t="n">
        <f aca="false">'Cap Table'!$D$7</f>
        <v>8000000</v>
      </c>
      <c r="D68" s="18" t="n">
        <f aca="false">'Cap Table'!G64</f>
        <v>0.162162162162162</v>
      </c>
      <c r="E68" s="30" t="str">
        <f aca="false">TEXT($C$23*D68,"$#,##0,,")&amp;"M  -  "&amp;TEXT($E$23*D68,"$#,##0,,")&amp;"M"</f>
        <v>$44M  -  $118M</v>
      </c>
      <c r="F68" s="30" t="str">
        <f aca="false">TEXT($C$23*D68/$C$68,"0.0")&amp;"x  -  "&amp;TEXT($E$23*D68/$C$68,"0.0")&amp;"x"</f>
        <v>5.6x  -  14.8x</v>
      </c>
      <c r="G68" s="30" t="str">
        <f aca="false">TEXT(($C$23*D68/$C$68)^(1/4)-1,"0%")&amp;"  -  "&amp;TEXT(($E$23*D68/$C$68)^(1/4)-1,"0%")</f>
        <v>54%  -  96%</v>
      </c>
    </row>
    <row r="69" customFormat="false" ht="15" hidden="false" customHeight="true" outlineLevel="0" collapsed="false">
      <c r="B69" s="13" t="s">
        <v>164</v>
      </c>
      <c r="C69" s="22" t="n">
        <f aca="false">'Cap Table'!$D$8</f>
        <v>30000000</v>
      </c>
      <c r="D69" s="18" t="n">
        <f aca="false">'Cap Table'!H64</f>
        <v>0.25</v>
      </c>
      <c r="E69" s="30" t="str">
        <f aca="false">TEXT($C$23*D69,"$#,##0,,")&amp;"M  -  "&amp;TEXT($E$23*D69,"$#,##0,,")&amp;"M"</f>
        <v>$69M  -  $183M</v>
      </c>
      <c r="F69" s="30" t="str">
        <f aca="false">TEXT($C$23*D69/$C$69,"0.0")&amp;"x  -  "&amp;TEXT($E$23*D69/$C$69,"0.0")&amp;"x"</f>
        <v>2.3x  -  6.1x</v>
      </c>
      <c r="G69" s="30" t="str">
        <f aca="false">TEXT(($C$23*D69/$C$69)^(1/3)-1,"0%")&amp;"  -  "&amp;TEXT(($E$23*D69/$C$69)^(1/3)-1,"0%")</f>
        <v>32%  -  83%</v>
      </c>
    </row>
    <row r="70" customFormat="false" ht="15" hidden="false" customHeight="true" outlineLevel="0" collapsed="false">
      <c r="B70" s="41" t="s">
        <v>242</v>
      </c>
      <c r="C70" s="67" t="s">
        <v>243</v>
      </c>
      <c r="D70" s="69" t="n">
        <f aca="false">'Cap Table'!D64</f>
        <v>0.0503861003861004</v>
      </c>
      <c r="E70" s="38" t="str">
        <f aca="false">TEXT($C$23*D70,"$#,##0,,")&amp;"M  -  "&amp;TEXT($E$23*D70,"$#,##0,,")&amp;"M"</f>
        <v>$14M  -  $37M</v>
      </c>
      <c r="F70" s="70" t="s">
        <v>241</v>
      </c>
      <c r="G70" s="70" t="s">
        <v>241</v>
      </c>
    </row>
    <row r="72" customFormat="false" ht="15" hidden="false" customHeight="true" outlineLevel="0" collapsed="false">
      <c r="B72" s="4" t="s">
        <v>247</v>
      </c>
      <c r="C72" s="4"/>
      <c r="D72" s="4"/>
      <c r="E72" s="4"/>
      <c r="F72" s="4"/>
      <c r="G72" s="4"/>
      <c r="H72" s="4"/>
    </row>
    <row r="73" customFormat="false" ht="25.5" hidden="false" customHeight="true" outlineLevel="0" collapsed="false">
      <c r="B73" s="17" t="s">
        <v>248</v>
      </c>
      <c r="C73" s="17"/>
      <c r="D73" s="17"/>
      <c r="E73" s="17"/>
      <c r="F73" s="17"/>
      <c r="G73" s="17"/>
      <c r="H73" s="17"/>
    </row>
    <row r="75" customFormat="false" ht="15" hidden="false" customHeight="true" outlineLevel="0" collapsed="false">
      <c r="B75" s="11"/>
      <c r="C75" s="21" t="s">
        <v>161</v>
      </c>
      <c r="D75" s="21" t="s">
        <v>242</v>
      </c>
      <c r="E75" s="21" t="s">
        <v>215</v>
      </c>
      <c r="F75" s="21" t="s">
        <v>162</v>
      </c>
      <c r="G75" s="21" t="s">
        <v>163</v>
      </c>
      <c r="H75" s="21" t="s">
        <v>164</v>
      </c>
    </row>
    <row r="76" customFormat="false" ht="15" hidden="false" customHeight="true" outlineLevel="0" collapsed="false">
      <c r="B76" s="5" t="s">
        <v>249</v>
      </c>
      <c r="C76" s="18" t="n">
        <f aca="false">'Cap Table'!C62</f>
        <v>0.728571428571429</v>
      </c>
      <c r="D76" s="18" t="n">
        <f aca="false">'Cap Table'!D62</f>
        <v>0.0857142857142857</v>
      </c>
      <c r="E76" s="18" t="n">
        <f aca="false">'Cap Table'!E62</f>
        <v>0.0428571428571429</v>
      </c>
      <c r="F76" s="18" t="n">
        <f aca="false">'Cap Table'!F62</f>
        <v>0.142857142857143</v>
      </c>
      <c r="G76" s="18" t="str">
        <f aca="false">'Cap Table'!G62</f>
        <v>-</v>
      </c>
      <c r="H76" s="18" t="str">
        <f aca="false">'Cap Table'!H62</f>
        <v>-</v>
      </c>
    </row>
    <row r="77" customFormat="false" ht="15" hidden="false" customHeight="true" outlineLevel="0" collapsed="false">
      <c r="B77" s="32" t="s">
        <v>250</v>
      </c>
      <c r="C77" s="67" t="str">
        <f aca="false">IF(ISNUMBER(C76),TEXT($C$27*C76,"$#,##0,,")&amp;"M-"&amp;TEXT($E$27*C76,"$#,##0,,")&amp;"M","-")</f>
        <v>$28M-$69M</v>
      </c>
      <c r="D77" s="67" t="str">
        <f aca="false">IF(ISNUMBER(D76),TEXT($C$27*D76,"$#,##0,,")&amp;"M-"&amp;TEXT($E$27*D76,"$#,##0,,")&amp;"M","-")</f>
        <v>$3M-$8M</v>
      </c>
      <c r="E77" s="67" t="str">
        <f aca="false">IF(ISNUMBER(E76),TEXT($C$27*E76,"$#,##0,,")&amp;"M-"&amp;TEXT($E$27*E76,"$#,##0,,")&amp;"M","-")</f>
        <v>$2M-$4M</v>
      </c>
      <c r="F77" s="67" t="str">
        <f aca="false">IF(ISNUMBER(F76),TEXT($C$27*F76,"$#,##0,,")&amp;"M-"&amp;TEXT($E$27*F76,"$#,##0,,")&amp;"M","-")</f>
        <v>$5M-$14M</v>
      </c>
      <c r="G77" s="67" t="str">
        <f aca="false">IF(ISNUMBER(G76),TEXT($C$27*G76,"$#,##0,,")&amp;"M-"&amp;TEXT($E$27*G76,"$#,##0,,")&amp;"M","-")</f>
        <v>-</v>
      </c>
      <c r="H77" s="67" t="str">
        <f aca="false">IF(ISNUMBER(H76),TEXT($C$27*H76,"$#,##0,,")&amp;"M-"&amp;TEXT($E$27*H76,"$#,##0,,")&amp;"M","-")</f>
        <v>-</v>
      </c>
    </row>
    <row r="78" customFormat="false" ht="15" hidden="false" customHeight="true" outlineLevel="0" collapsed="false">
      <c r="B78" s="5" t="s">
        <v>251</v>
      </c>
      <c r="C78" s="18" t="n">
        <f aca="false">'Cap Table'!C63</f>
        <v>0.571042471042471</v>
      </c>
      <c r="D78" s="18" t="n">
        <f aca="false">'Cap Table'!D63</f>
        <v>0.0671814671814672</v>
      </c>
      <c r="E78" s="18" t="n">
        <f aca="false">'Cap Table'!E63</f>
        <v>0.0335907335907336</v>
      </c>
      <c r="F78" s="18" t="n">
        <f aca="false">'Cap Table'!F63</f>
        <v>0.111969111969112</v>
      </c>
      <c r="G78" s="18" t="n">
        <f aca="false">'Cap Table'!G63</f>
        <v>0.216216216216216</v>
      </c>
      <c r="H78" s="18" t="str">
        <f aca="false">'Cap Table'!H63</f>
        <v>-</v>
      </c>
    </row>
    <row r="79" customFormat="false" ht="15" hidden="false" customHeight="true" outlineLevel="0" collapsed="false">
      <c r="B79" s="32" t="s">
        <v>250</v>
      </c>
      <c r="C79" s="67" t="str">
        <f aca="false">IF(ISNUMBER(C78),TEXT($C$28*C78,"$#,##0,,")&amp;"M-"&amp;TEXT($E$28*C78,"$#,##0,,")&amp;"M","-")</f>
        <v>$117M-$291M</v>
      </c>
      <c r="D79" s="67" t="str">
        <f aca="false">IF(ISNUMBER(D78),TEXT($C$28*D78,"$#,##0,,")&amp;"M-"&amp;TEXT($E$28*D78,"$#,##0,,")&amp;"M","-")</f>
        <v>$14M-$34M</v>
      </c>
      <c r="E79" s="67" t="str">
        <f aca="false">IF(ISNUMBER(E78),TEXT($C$28*E78,"$#,##0,,")&amp;"M-"&amp;TEXT($E$28*E78,"$#,##0,,")&amp;"M","-")</f>
        <v>$7M-$17M</v>
      </c>
      <c r="F79" s="67" t="str">
        <f aca="false">IF(ISNUMBER(F78),TEXT($C$28*F78,"$#,##0,,")&amp;"M-"&amp;TEXT($E$28*F78,"$#,##0,,")&amp;"M","-")</f>
        <v>$23M-$57M</v>
      </c>
      <c r="G79" s="67" t="str">
        <f aca="false">IF(ISNUMBER(G78),TEXT($C$28*G78,"$#,##0,,")&amp;"M-"&amp;TEXT($E$28*G78,"$#,##0,,")&amp;"M","-")</f>
        <v>$44M-$110M</v>
      </c>
      <c r="H79" s="67" t="str">
        <f aca="false">IF(ISNUMBER(H78),TEXT($C$28*H78,"$#,##0,,")&amp;"M-"&amp;TEXT($E$28*H78,"$#,##0,,")&amp;"M","-")</f>
        <v>-</v>
      </c>
    </row>
    <row r="80" customFormat="false" ht="15" hidden="false" customHeight="true" outlineLevel="0" collapsed="false">
      <c r="B80" s="5" t="s">
        <v>252</v>
      </c>
      <c r="C80" s="18" t="n">
        <f aca="false">'Cap Table'!C64</f>
        <v>0.428281853281853</v>
      </c>
      <c r="D80" s="18" t="n">
        <f aca="false">'Cap Table'!D64</f>
        <v>0.0503861003861004</v>
      </c>
      <c r="E80" s="18" t="n">
        <f aca="false">'Cap Table'!E64</f>
        <v>0.0251930501930502</v>
      </c>
      <c r="F80" s="18" t="n">
        <f aca="false">'Cap Table'!F64</f>
        <v>0.083976833976834</v>
      </c>
      <c r="G80" s="18" t="n">
        <f aca="false">'Cap Table'!G64</f>
        <v>0.162162162162162</v>
      </c>
      <c r="H80" s="18" t="n">
        <f aca="false">'Cap Table'!H64</f>
        <v>0.25</v>
      </c>
    </row>
    <row r="81" customFormat="false" ht="15" hidden="false" customHeight="true" outlineLevel="0" collapsed="false">
      <c r="B81" s="32" t="s">
        <v>250</v>
      </c>
      <c r="C81" s="67" t="str">
        <f aca="false">IF(ISNUMBER(C80),TEXT($C$29*C80,"$#,##0,,")&amp;"M-"&amp;TEXT($E$29*C80,"$#,##0,,")&amp;"M","-")</f>
        <v>$128M-$320M</v>
      </c>
      <c r="D81" s="67" t="str">
        <f aca="false">IF(ISNUMBER(D80),TEXT($C$29*D80,"$#,##0,,")&amp;"M-"&amp;TEXT($E$29*D80,"$#,##0,,")&amp;"M","-")</f>
        <v>$15M-$38M</v>
      </c>
      <c r="E81" s="67" t="str">
        <f aca="false">IF(ISNUMBER(E80),TEXT($C$29*E80,"$#,##0,,")&amp;"M-"&amp;TEXT($E$29*E80,"$#,##0,,")&amp;"M","-")</f>
        <v>$8M-$19M</v>
      </c>
      <c r="F81" s="67" t="str">
        <f aca="false">IF(ISNUMBER(F80),TEXT($C$29*F80,"$#,##0,,")&amp;"M-"&amp;TEXT($E$29*F80,"$#,##0,,")&amp;"M","-")</f>
        <v>$25M-$63M</v>
      </c>
      <c r="G81" s="67" t="str">
        <f aca="false">IF(ISNUMBER(G80),TEXT($C$29*G80,"$#,##0,,")&amp;"M-"&amp;TEXT($E$29*G80,"$#,##0,,")&amp;"M","-")</f>
        <v>$48M-$121M</v>
      </c>
      <c r="H81" s="67" t="str">
        <f aca="false">IF(ISNUMBER(H80),TEXT($C$29*H80,"$#,##0,,")&amp;"M-"&amp;TEXT($E$29*H80,"$#,##0,,")&amp;"M","-")</f>
        <v>$75M-$187M</v>
      </c>
    </row>
    <row r="82" customFormat="false" ht="15" hidden="false" customHeight="true" outlineLevel="0" collapsed="false">
      <c r="B82" s="32" t="s">
        <v>253</v>
      </c>
      <c r="C82" s="49" t="n">
        <f aca="false">'Cap Table'!C66</f>
        <v>1</v>
      </c>
      <c r="D82" s="49" t="n">
        <f aca="false">'Cap Table'!D66</f>
        <v>1</v>
      </c>
      <c r="E82" s="49" t="n">
        <f aca="false">'Cap Table'!E66</f>
        <v>1</v>
      </c>
    </row>
  </sheetData>
  <mergeCells count="12">
    <mergeCell ref="B1:H1"/>
    <mergeCell ref="B2:H2"/>
    <mergeCell ref="B4:H4"/>
    <mergeCell ref="B9:H9"/>
    <mergeCell ref="B11:H11"/>
    <mergeCell ref="B17:H17"/>
    <mergeCell ref="B19:H19"/>
    <mergeCell ref="B25:H25"/>
    <mergeCell ref="B31:H31"/>
    <mergeCell ref="B51:H51"/>
    <mergeCell ref="B72:H72"/>
    <mergeCell ref="B73:H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9" min="3" style="1" width="13"/>
  </cols>
  <sheetData>
    <row r="1" customFormat="false" ht="19.5" hidden="false" customHeight="true" outlineLevel="0" collapsed="false">
      <c r="B1" s="2" t="s">
        <v>254</v>
      </c>
      <c r="C1" s="2"/>
      <c r="D1" s="2"/>
      <c r="E1" s="2"/>
      <c r="F1" s="2"/>
      <c r="G1" s="2"/>
      <c r="H1" s="2"/>
      <c r="I1" s="2"/>
    </row>
    <row r="2" customFormat="false" ht="15" hidden="false" customHeight="true" outlineLevel="0" collapsed="false">
      <c r="B2" s="3" t="s">
        <v>255</v>
      </c>
      <c r="C2" s="3"/>
      <c r="D2" s="3"/>
      <c r="E2" s="3"/>
      <c r="F2" s="3"/>
      <c r="G2" s="3"/>
      <c r="H2" s="3"/>
      <c r="I2" s="3"/>
    </row>
    <row r="4" customFormat="false" ht="15" hidden="false" customHeight="true" outlineLevel="0" collapsed="false">
      <c r="B4" s="11"/>
      <c r="C4" s="12" t="s">
        <v>13</v>
      </c>
      <c r="D4" s="12" t="s">
        <v>14</v>
      </c>
      <c r="E4" s="12" t="s">
        <v>15</v>
      </c>
      <c r="F4" s="12" t="s">
        <v>16</v>
      </c>
      <c r="G4" s="12" t="s">
        <v>17</v>
      </c>
      <c r="H4" s="12" t="s">
        <v>18</v>
      </c>
      <c r="I4" s="12" t="s">
        <v>19</v>
      </c>
    </row>
    <row r="5" customFormat="false" ht="15" hidden="false" customHeight="true" outlineLevel="0" collapsed="false">
      <c r="B5" s="5" t="s">
        <v>20</v>
      </c>
      <c r="C5" s="71" t="n">
        <f aca="false">'WC &amp; Capex'!C15</f>
        <v>348750</v>
      </c>
      <c r="D5" s="71" t="n">
        <f aca="false">'WC &amp; Capex'!D15</f>
        <v>1342125</v>
      </c>
      <c r="E5" s="71" t="n">
        <f aca="false">'WC &amp; Capex'!E15</f>
        <v>3177500</v>
      </c>
      <c r="F5" s="71" t="n">
        <f aca="false">'WC &amp; Capex'!F15</f>
        <v>10188875</v>
      </c>
      <c r="G5" s="71" t="n">
        <f aca="false">'WC &amp; Capex'!G15</f>
        <v>23192222.5</v>
      </c>
      <c r="H5" s="71" t="n">
        <f aca="false">'WC &amp; Capex'!H15</f>
        <v>40601094.25</v>
      </c>
      <c r="I5" s="71" t="n">
        <f aca="false">'WC &amp; Capex'!I15</f>
        <v>60581809</v>
      </c>
    </row>
    <row r="6" customFormat="false" ht="15" hidden="false" customHeight="true" outlineLevel="0" collapsed="false">
      <c r="B6" s="13" t="s">
        <v>256</v>
      </c>
      <c r="C6" s="14" t="n">
        <f aca="false">-'WC &amp; Capex'!C16</f>
        <v>-12000</v>
      </c>
      <c r="D6" s="14" t="n">
        <f aca="false">-'WC &amp; Capex'!D16</f>
        <v>-153600</v>
      </c>
      <c r="E6" s="14" t="n">
        <f aca="false">-'WC &amp; Capex'!E16</f>
        <v>-967800</v>
      </c>
      <c r="F6" s="14" t="n">
        <f aca="false">-'WC &amp; Capex'!F16</f>
        <v>-2118300</v>
      </c>
      <c r="G6" s="14" t="n">
        <f aca="false">-'WC &amp; Capex'!G16</f>
        <v>-3776200</v>
      </c>
      <c r="H6" s="14" t="n">
        <f aca="false">-'WC &amp; Capex'!H16</f>
        <v>-5180400</v>
      </c>
      <c r="I6" s="14" t="n">
        <f aca="false">-'WC &amp; Capex'!I16</f>
        <v>-6584600</v>
      </c>
    </row>
    <row r="7" customFormat="false" ht="15" hidden="false" customHeight="true" outlineLevel="0" collapsed="false">
      <c r="B7" s="5" t="s">
        <v>257</v>
      </c>
      <c r="C7" s="28" t="n">
        <f aca="false">C5+C6</f>
        <v>336750</v>
      </c>
      <c r="D7" s="28" t="n">
        <f aca="false">D5+D6</f>
        <v>1188525</v>
      </c>
      <c r="E7" s="28" t="n">
        <f aca="false">E5+E6</f>
        <v>2209700</v>
      </c>
      <c r="F7" s="28" t="n">
        <f aca="false">F5+F6</f>
        <v>8070575</v>
      </c>
      <c r="G7" s="28" t="n">
        <f aca="false">G5+G6</f>
        <v>19416022.5</v>
      </c>
      <c r="H7" s="28" t="n">
        <f aca="false">H5+H6</f>
        <v>35420694.25</v>
      </c>
      <c r="I7" s="28" t="n">
        <f aca="false">I5+I6</f>
        <v>53997209</v>
      </c>
    </row>
    <row r="8" customFormat="false" ht="15" hidden="false" customHeight="true" outlineLevel="0" collapsed="false">
      <c r="B8" s="32" t="s">
        <v>258</v>
      </c>
      <c r="C8" s="49" t="n">
        <f aca="false">C7/C5</f>
        <v>0.965591397849462</v>
      </c>
      <c r="D8" s="49" t="n">
        <f aca="false">D7/D5</f>
        <v>0.885554624196703</v>
      </c>
      <c r="E8" s="49" t="n">
        <f aca="false">E7/E5</f>
        <v>0.695420928402832</v>
      </c>
      <c r="F8" s="49" t="n">
        <f aca="false">F7/F5</f>
        <v>0.792096772214793</v>
      </c>
      <c r="G8" s="49" t="n">
        <f aca="false">G7/G5</f>
        <v>0.837178174709216</v>
      </c>
      <c r="H8" s="49" t="n">
        <f aca="false">H7/H5</f>
        <v>0.872407379759229</v>
      </c>
      <c r="I8" s="49" t="n">
        <f aca="false">I7/I5</f>
        <v>0.891310607776668</v>
      </c>
    </row>
    <row r="10" customFormat="false" ht="15" hidden="false" customHeight="true" outlineLevel="0" collapsed="false">
      <c r="B10" s="13" t="s">
        <v>259</v>
      </c>
      <c r="C10" s="22" t="n">
        <f aca="false">-CHOOSE(Control!$C$8,'S&amp;M Build'!C16,'S&amp;M Build'!C23,'S&amp;M Build'!C30)</f>
        <v>-20000</v>
      </c>
      <c r="D10" s="22" t="n">
        <f aca="false">-CHOOSE(Control!$C$8,'S&amp;M Build'!D16,'S&amp;M Build'!D23,'S&amp;M Build'!D30)</f>
        <v>-250000</v>
      </c>
      <c r="E10" s="22" t="n">
        <f aca="false">-CHOOSE(Control!$C$8,'S&amp;M Build'!E16,'S&amp;M Build'!E23,'S&amp;M Build'!E30)</f>
        <v>-475000</v>
      </c>
      <c r="F10" s="22" t="n">
        <f aca="false">-CHOOSE(Control!$C$8,'S&amp;M Build'!F16,'S&amp;M Build'!F23,'S&amp;M Build'!F30)</f>
        <v>-3320000</v>
      </c>
      <c r="G10" s="22" t="n">
        <f aca="false">-CHOOSE(Control!$C$8,'S&amp;M Build'!G16,'S&amp;M Build'!G23,'S&amp;M Build'!G30)</f>
        <v>-5660000</v>
      </c>
      <c r="H10" s="22" t="n">
        <f aca="false">-CHOOSE(Control!$C$8,'S&amp;M Build'!H16,'S&amp;M Build'!H23,'S&amp;M Build'!H30)</f>
        <v>-7765000</v>
      </c>
      <c r="I10" s="22" t="n">
        <f aca="false">-CHOOSE(Control!$C$8,'S&amp;M Build'!I16,'S&amp;M Build'!I23,'S&amp;M Build'!I30)</f>
        <v>-9620000</v>
      </c>
    </row>
    <row r="11" customFormat="false" ht="15" hidden="false" customHeight="true" outlineLevel="0" collapsed="false">
      <c r="B11" s="13" t="s">
        <v>67</v>
      </c>
      <c r="C11" s="22" t="n">
        <f aca="false">-CHOOSE(Control!$C$8,'Product &amp; Data Eng Build'!C15,'Product &amp; Data Eng Build'!C21,'Product &amp; Data Eng Build'!C27)</f>
        <v>-15000</v>
      </c>
      <c r="D11" s="22" t="n">
        <f aca="false">-CHOOSE(Control!$C$8,'Product &amp; Data Eng Build'!D15,'Product &amp; Data Eng Build'!D21,'Product &amp; Data Eng Build'!D27)</f>
        <v>-415000</v>
      </c>
      <c r="E11" s="22" t="n">
        <f aca="false">-CHOOSE(Control!$C$8,'Product &amp; Data Eng Build'!E15,'Product &amp; Data Eng Build'!E21,'Product &amp; Data Eng Build'!E27)</f>
        <v>-415000</v>
      </c>
      <c r="F11" s="22" t="n">
        <f aca="false">-CHOOSE(Control!$C$8,'Product &amp; Data Eng Build'!F15,'Product &amp; Data Eng Build'!F21,'Product &amp; Data Eng Build'!F27)</f>
        <v>-2525000</v>
      </c>
      <c r="G11" s="22" t="n">
        <f aca="false">-CHOOSE(Control!$C$8,'Product &amp; Data Eng Build'!G15,'Product &amp; Data Eng Build'!G21,'Product &amp; Data Eng Build'!G27)</f>
        <v>-4735000</v>
      </c>
      <c r="H11" s="22" t="n">
        <f aca="false">-CHOOSE(Control!$C$8,'Product &amp; Data Eng Build'!H15,'Product &amp; Data Eng Build'!H21,'Product &amp; Data Eng Build'!H27)</f>
        <v>-6495000</v>
      </c>
      <c r="I11" s="22" t="n">
        <f aca="false">-CHOOSE(Control!$C$8,'Product &amp; Data Eng Build'!I15,'Product &amp; Data Eng Build'!I21,'Product &amp; Data Eng Build'!I27)</f>
        <v>-8140000</v>
      </c>
    </row>
    <row r="12" customFormat="false" ht="15" hidden="false" customHeight="true" outlineLevel="0" collapsed="false">
      <c r="B12" s="13" t="s">
        <v>260</v>
      </c>
      <c r="C12" s="22" t="n">
        <f aca="false">-CHOOSE(Control!$C$8,'G&amp;A &amp; Exec Comp Build'!C24,'G&amp;A &amp; Exec Comp Build'!C25,'G&amp;A &amp; Exec Comp Build'!C26)</f>
        <v>-429400</v>
      </c>
      <c r="D12" s="22" t="n">
        <f aca="false">-CHOOSE(Control!$C$8,'G&amp;A &amp; Exec Comp Build'!D24,'G&amp;A &amp; Exec Comp Build'!D25,'G&amp;A &amp; Exec Comp Build'!D26)</f>
        <v>-460700</v>
      </c>
      <c r="E12" s="22" t="n">
        <f aca="false">-CHOOSE(Control!$C$8,'G&amp;A &amp; Exec Comp Build'!E24,'G&amp;A &amp; Exec Comp Build'!E25,'G&amp;A &amp; Exec Comp Build'!E26)</f>
        <v>-465000</v>
      </c>
      <c r="F12" s="22" t="n">
        <f aca="false">-CHOOSE(Control!$C$8,'G&amp;A &amp; Exec Comp Build'!F24,'G&amp;A &amp; Exec Comp Build'!F25,'G&amp;A &amp; Exec Comp Build'!F26)</f>
        <v>-780000</v>
      </c>
      <c r="G12" s="22" t="n">
        <f aca="false">-CHOOSE(Control!$C$8,'G&amp;A &amp; Exec Comp Build'!G24,'G&amp;A &amp; Exec Comp Build'!G25,'G&amp;A &amp; Exec Comp Build'!G26)</f>
        <v>-1380000</v>
      </c>
      <c r="H12" s="22" t="n">
        <f aca="false">-CHOOSE(Control!$C$8,'G&amp;A &amp; Exec Comp Build'!H24,'G&amp;A &amp; Exec Comp Build'!H25,'G&amp;A &amp; Exec Comp Build'!H26)</f>
        <v>-1795000</v>
      </c>
      <c r="I12" s="22" t="n">
        <f aca="false">-CHOOSE(Control!$C$8,'G&amp;A &amp; Exec Comp Build'!I24,'G&amp;A &amp; Exec Comp Build'!I25,'G&amp;A &amp; Exec Comp Build'!I26)</f>
        <v>-2210000</v>
      </c>
    </row>
    <row r="13" customFormat="false" ht="15" hidden="false" customHeight="true" outlineLevel="0" collapsed="false">
      <c r="B13" s="5" t="s">
        <v>261</v>
      </c>
      <c r="C13" s="72" t="n">
        <f aca="false">SUM(C10:C12)</f>
        <v>-464400</v>
      </c>
      <c r="D13" s="72" t="n">
        <f aca="false">SUM(D10:D12)</f>
        <v>-1125700</v>
      </c>
      <c r="E13" s="72" t="n">
        <f aca="false">SUM(E10:E12)</f>
        <v>-1355000</v>
      </c>
      <c r="F13" s="72" t="n">
        <f aca="false">SUM(F10:F12)</f>
        <v>-6625000</v>
      </c>
      <c r="G13" s="72" t="n">
        <f aca="false">SUM(G10:G12)</f>
        <v>-11775000</v>
      </c>
      <c r="H13" s="72" t="n">
        <f aca="false">SUM(H10:H12)</f>
        <v>-16055000</v>
      </c>
      <c r="I13" s="72" t="n">
        <f aca="false">SUM(I10:I12)</f>
        <v>-19970000</v>
      </c>
    </row>
    <row r="15" customFormat="false" ht="15" hidden="false" customHeight="true" outlineLevel="0" collapsed="false">
      <c r="B15" s="5" t="s">
        <v>262</v>
      </c>
      <c r="C15" s="26" t="n">
        <f aca="false">C7+C13</f>
        <v>-127650</v>
      </c>
      <c r="D15" s="26" t="n">
        <f aca="false">D7+D13</f>
        <v>62825</v>
      </c>
      <c r="E15" s="26" t="n">
        <f aca="false">E7+E13</f>
        <v>854700</v>
      </c>
      <c r="F15" s="26" t="n">
        <f aca="false">F7+F13</f>
        <v>1445575</v>
      </c>
      <c r="G15" s="26" t="n">
        <f aca="false">G7+G13</f>
        <v>7641022.5</v>
      </c>
      <c r="H15" s="26" t="n">
        <f aca="false">H7+H13</f>
        <v>19365694.25</v>
      </c>
      <c r="I15" s="26" t="n">
        <f aca="false">I7+I13</f>
        <v>34027209</v>
      </c>
    </row>
    <row r="16" customFormat="false" ht="15" hidden="false" customHeight="true" outlineLevel="0" collapsed="false">
      <c r="B16" s="13" t="s">
        <v>263</v>
      </c>
      <c r="C16" s="14" t="n">
        <f aca="false">-'WC &amp; Capex'!C27</f>
        <v>-3333.33333333333</v>
      </c>
      <c r="D16" s="14" t="n">
        <f aca="false">-'WC &amp; Capex'!D27</f>
        <v>-4333.33333333333</v>
      </c>
      <c r="E16" s="14" t="n">
        <f aca="false">-'WC &amp; Capex'!E27</f>
        <v>-20220.8333333333</v>
      </c>
      <c r="F16" s="14" t="n">
        <f aca="false">-'WC &amp; Capex'!F27</f>
        <v>-67831.875</v>
      </c>
      <c r="G16" s="14" t="n">
        <f aca="false">-'WC &amp; Capex'!G27</f>
        <v>-182792.9875</v>
      </c>
      <c r="H16" s="14" t="n">
        <f aca="false">-'WC &amp; Capex'!H27</f>
        <v>-369910.95875</v>
      </c>
      <c r="I16" s="14" t="n">
        <f aca="false">-'WC &amp; Capex'!I27</f>
        <v>-621875.62875</v>
      </c>
    </row>
    <row r="17" customFormat="false" ht="15" hidden="false" customHeight="true" outlineLevel="0" collapsed="false">
      <c r="B17" s="73" t="s">
        <v>21</v>
      </c>
      <c r="C17" s="74" t="n">
        <f aca="false">C15+C16</f>
        <v>-130983.333333333</v>
      </c>
      <c r="D17" s="74" t="n">
        <f aca="false">D15+D16</f>
        <v>58491.6666666667</v>
      </c>
      <c r="E17" s="74" t="n">
        <f aca="false">E15+E16</f>
        <v>834479.166666667</v>
      </c>
      <c r="F17" s="74" t="n">
        <f aca="false">F15+F16</f>
        <v>1377743.125</v>
      </c>
      <c r="G17" s="74" t="n">
        <f aca="false">G15+G16</f>
        <v>7458229.5125</v>
      </c>
      <c r="H17" s="74" t="n">
        <f aca="false">H15+H16</f>
        <v>18995783.29125</v>
      </c>
      <c r="I17" s="74" t="n">
        <f aca="false">I15+I16</f>
        <v>33405333.37125</v>
      </c>
    </row>
    <row r="18" customFormat="false" ht="15" hidden="false" customHeight="true" outlineLevel="0" collapsed="false">
      <c r="B18" s="32" t="s">
        <v>264</v>
      </c>
      <c r="C18" s="49" t="n">
        <f aca="false">C17/C5</f>
        <v>-0.37557945041816</v>
      </c>
      <c r="D18" s="49" t="n">
        <f aca="false">D17/D5</f>
        <v>0.0435813852410667</v>
      </c>
      <c r="E18" s="49" t="n">
        <f aca="false">E17/E5</f>
        <v>0.262621295567794</v>
      </c>
      <c r="F18" s="49" t="n">
        <f aca="false">F17/F5</f>
        <v>0.13522033835924</v>
      </c>
      <c r="G18" s="49" t="n">
        <f aca="false">G17/G5</f>
        <v>0.321583216636525</v>
      </c>
      <c r="H18" s="49" t="n">
        <f aca="false">H17/H5</f>
        <v>0.467863825893067</v>
      </c>
      <c r="I18" s="49" t="n">
        <f aca="false">I17/I5</f>
        <v>0.551408647623084</v>
      </c>
    </row>
    <row r="19" customFormat="false" ht="15" hidden="false" customHeight="true" outlineLevel="0" collapsed="false">
      <c r="B19" s="13" t="s">
        <v>265</v>
      </c>
      <c r="C19" s="22" t="n">
        <f aca="false">0</f>
        <v>0</v>
      </c>
      <c r="D19" s="22" t="n">
        <f aca="false">'Balance Sheet'!C6*'WC &amp; Capex'!$C$10</f>
        <v>35869.1506849315</v>
      </c>
      <c r="E19" s="22" t="n">
        <f aca="false">'Balance Sheet'!D6*'WC &amp; Capex'!$C$10</f>
        <v>41792.2728767123</v>
      </c>
      <c r="F19" s="22" t="n">
        <f aca="false">'Balance Sheet'!E6*'WC &amp; Capex'!$C$10</f>
        <v>69438.1149867397</v>
      </c>
      <c r="G19" s="22" t="n">
        <f aca="false">'Balance Sheet'!F6*'WC &amp; Capex'!$C$10</f>
        <v>446141.273525964</v>
      </c>
      <c r="H19" s="22" t="n">
        <f aca="false">'Balance Sheet'!G6*'WC &amp; Capex'!$C$10</f>
        <v>688764.049860825</v>
      </c>
      <c r="I19" s="22" t="n">
        <f aca="false">'Balance Sheet'!H6*'WC &amp; Capex'!$C$10</f>
        <v>1271011.1059714</v>
      </c>
    </row>
    <row r="20" customFormat="false" ht="15" hidden="false" customHeight="true" outlineLevel="0" collapsed="false">
      <c r="B20" s="5" t="s">
        <v>266</v>
      </c>
      <c r="C20" s="26" t="n">
        <f aca="false">C17+C19</f>
        <v>-130983.333333333</v>
      </c>
      <c r="D20" s="26" t="n">
        <f aca="false">D17+D19</f>
        <v>94360.8173515982</v>
      </c>
      <c r="E20" s="26" t="n">
        <f aca="false">E17+E19</f>
        <v>876271.439543379</v>
      </c>
      <c r="F20" s="26" t="n">
        <f aca="false">F17+F19</f>
        <v>1447181.23998674</v>
      </c>
      <c r="G20" s="26" t="n">
        <f aca="false">G17+G19</f>
        <v>7904370.78602596</v>
      </c>
      <c r="H20" s="26" t="n">
        <f aca="false">H17+H19</f>
        <v>19684547.3411108</v>
      </c>
      <c r="I20" s="26" t="n">
        <f aca="false">I17+I19</f>
        <v>34676344.4772214</v>
      </c>
    </row>
    <row r="21" customFormat="false" ht="15" hidden="false" customHeight="true" outlineLevel="0" collapsed="false">
      <c r="B21" s="4" t="s">
        <v>267</v>
      </c>
      <c r="C21" s="4"/>
      <c r="D21" s="4"/>
      <c r="E21" s="4"/>
      <c r="F21" s="4"/>
      <c r="G21" s="4"/>
      <c r="H21" s="4"/>
      <c r="I21" s="4"/>
    </row>
    <row r="22" customFormat="false" ht="15" hidden="false" customHeight="true" outlineLevel="0" collapsed="false">
      <c r="B22" s="13" t="s">
        <v>268</v>
      </c>
      <c r="C22" s="22" t="n">
        <v>0</v>
      </c>
      <c r="D22" s="22" t="n">
        <f aca="false">C23</f>
        <v>130983.333333333</v>
      </c>
      <c r="E22" s="22" t="n">
        <f aca="false">D23</f>
        <v>36622.5159817352</v>
      </c>
      <c r="F22" s="22" t="n">
        <f aca="false">E23</f>
        <v>0</v>
      </c>
      <c r="G22" s="22" t="n">
        <f aca="false">F23</f>
        <v>0</v>
      </c>
      <c r="H22" s="22" t="n">
        <f aca="false">G23</f>
        <v>0</v>
      </c>
      <c r="I22" s="22" t="n">
        <f aca="false">H23</f>
        <v>0</v>
      </c>
    </row>
    <row r="23" customFormat="false" ht="15" hidden="false" customHeight="true" outlineLevel="0" collapsed="false">
      <c r="B23" s="13" t="s">
        <v>269</v>
      </c>
      <c r="C23" s="22" t="n">
        <f aca="false">C22+MAX(0,-C20)-MIN(C22,MAX(0,C20))</f>
        <v>130983.333333333</v>
      </c>
      <c r="D23" s="22" t="n">
        <f aca="false">D22+MAX(0,-D20)-MIN(D22,MAX(0,D20))</f>
        <v>36622.5159817352</v>
      </c>
      <c r="E23" s="22" t="n">
        <f aca="false">E22+MAX(0,-E20)-MIN(E22,MAX(0,E20))</f>
        <v>0</v>
      </c>
      <c r="F23" s="22" t="n">
        <f aca="false">F22+MAX(0,-F20)-MIN(F22,MAX(0,F20))</f>
        <v>0</v>
      </c>
      <c r="G23" s="22" t="n">
        <f aca="false">G22+MAX(0,-G20)-MIN(G22,MAX(0,G20))</f>
        <v>0</v>
      </c>
      <c r="H23" s="22" t="n">
        <f aca="false">H22+MAX(0,-H20)-MIN(H22,MAX(0,H20))</f>
        <v>0</v>
      </c>
      <c r="I23" s="22" t="n">
        <f aca="false">I22+MAX(0,-I20)-MIN(I22,MAX(0,I20))</f>
        <v>0</v>
      </c>
    </row>
    <row r="24" customFormat="false" ht="15" hidden="false" customHeight="true" outlineLevel="0" collapsed="false">
      <c r="B24" s="13" t="s">
        <v>270</v>
      </c>
      <c r="C24" s="22" t="n">
        <f aca="false">MAX(0,C20-C22)*'WC &amp; Capex'!$C$11</f>
        <v>0</v>
      </c>
      <c r="D24" s="22" t="n">
        <f aca="false">MAX(0,D20-D22)*'WC &amp; Capex'!$C$11</f>
        <v>0</v>
      </c>
      <c r="E24" s="22" t="n">
        <f aca="false">MAX(0,E20-E22)*'WC &amp; Capex'!$C$11</f>
        <v>218308.720126027</v>
      </c>
      <c r="F24" s="22" t="n">
        <f aca="false">MAX(0,F20-F22)*'WC &amp; Capex'!$C$11</f>
        <v>376267.122396552</v>
      </c>
      <c r="G24" s="22" t="n">
        <f aca="false">MAX(0,G20-G22)*'WC &amp; Capex'!$C$11</f>
        <v>2055136.40436675</v>
      </c>
      <c r="H24" s="22" t="n">
        <f aca="false">MAX(0,H20-H22)*'WC &amp; Capex'!$C$11</f>
        <v>5117982.30868882</v>
      </c>
      <c r="I24" s="22" t="n">
        <f aca="false">MAX(0,I20-I22)*'WC &amp; Capex'!$C$11</f>
        <v>9015849.56407757</v>
      </c>
    </row>
    <row r="25" customFormat="false" ht="15" hidden="false" customHeight="true" outlineLevel="0" collapsed="false">
      <c r="B25" s="73" t="s">
        <v>22</v>
      </c>
      <c r="C25" s="75" t="n">
        <f aca="false">C20-C24</f>
        <v>-130983.333333333</v>
      </c>
      <c r="D25" s="75" t="n">
        <f aca="false">D20-D24</f>
        <v>94360.8173515982</v>
      </c>
      <c r="E25" s="75" t="n">
        <f aca="false">E20-E24</f>
        <v>657962.719417352</v>
      </c>
      <c r="F25" s="75" t="n">
        <f aca="false">F20-F24</f>
        <v>1070914.11759019</v>
      </c>
      <c r="G25" s="75" t="n">
        <f aca="false">G20-G24</f>
        <v>5849234.38165921</v>
      </c>
      <c r="H25" s="75" t="n">
        <f aca="false">H20-H24</f>
        <v>14566565.032422</v>
      </c>
      <c r="I25" s="75" t="n">
        <f aca="false">I20-I24</f>
        <v>25660494.9131438</v>
      </c>
    </row>
    <row r="26" customFormat="false" ht="15" hidden="false" customHeight="true" outlineLevel="0" collapsed="false">
      <c r="B26" s="32" t="s">
        <v>271</v>
      </c>
      <c r="C26" s="49" t="n">
        <f aca="false">C25/C5</f>
        <v>-0.37557945041816</v>
      </c>
      <c r="D26" s="49" t="n">
        <f aca="false">D25/D5</f>
        <v>0.0703070260606115</v>
      </c>
      <c r="E26" s="49" t="n">
        <f aca="false">E25/E5</f>
        <v>0.207069305874855</v>
      </c>
      <c r="F26" s="49" t="n">
        <f aca="false">F25/F5</f>
        <v>0.10510621806531</v>
      </c>
      <c r="G26" s="49" t="n">
        <f aca="false">G25/G5</f>
        <v>0.252206720665051</v>
      </c>
      <c r="H26" s="49" t="n">
        <f aca="false">H25/H5</f>
        <v>0.358772720329379</v>
      </c>
      <c r="I26" s="49" t="n">
        <f aca="false">I25/I5</f>
        <v>0.423567657300294</v>
      </c>
    </row>
    <row r="28" customFormat="false" ht="15" hidden="false" customHeight="true" outlineLevel="0" collapsed="false">
      <c r="B28" s="76" t="s">
        <v>272</v>
      </c>
      <c r="C28" s="76"/>
      <c r="D28" s="76"/>
      <c r="E28" s="76"/>
      <c r="F28" s="76"/>
      <c r="G28" s="76"/>
      <c r="H28" s="76"/>
      <c r="I28" s="76"/>
    </row>
    <row r="29" customFormat="false" ht="15" hidden="false" customHeight="true" outlineLevel="0" collapsed="false">
      <c r="B29" s="29" t="s">
        <v>273</v>
      </c>
      <c r="C29" s="29"/>
      <c r="D29" s="29"/>
      <c r="E29" s="29"/>
      <c r="F29" s="29"/>
      <c r="G29" s="29"/>
      <c r="H29" s="29"/>
      <c r="I29" s="29"/>
    </row>
  </sheetData>
  <mergeCells count="5">
    <mergeCell ref="B1:I1"/>
    <mergeCell ref="B2:I2"/>
    <mergeCell ref="B21:I21"/>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9" min="3" style="1" width="13"/>
  </cols>
  <sheetData>
    <row r="1" customFormat="false" ht="19.5" hidden="false" customHeight="true" outlineLevel="0" collapsed="false">
      <c r="B1" s="2" t="s">
        <v>274</v>
      </c>
      <c r="C1" s="2"/>
      <c r="D1" s="2"/>
      <c r="E1" s="2"/>
      <c r="F1" s="2"/>
      <c r="G1" s="2"/>
      <c r="H1" s="2"/>
      <c r="I1" s="2"/>
    </row>
    <row r="2" customFormat="false" ht="15" hidden="false" customHeight="true" outlineLevel="0" collapsed="false">
      <c r="B2" s="3" t="s">
        <v>275</v>
      </c>
      <c r="C2" s="3"/>
      <c r="D2" s="3"/>
      <c r="E2" s="3"/>
      <c r="F2" s="3"/>
      <c r="G2" s="3"/>
      <c r="H2" s="3"/>
      <c r="I2" s="3"/>
    </row>
    <row r="4" customFormat="false" ht="15" hidden="false" customHeight="true" outlineLevel="0" collapsed="false">
      <c r="B4" s="11"/>
      <c r="C4" s="12" t="s">
        <v>13</v>
      </c>
      <c r="D4" s="12" t="s">
        <v>14</v>
      </c>
      <c r="E4" s="12" t="s">
        <v>15</v>
      </c>
      <c r="F4" s="12" t="s">
        <v>16</v>
      </c>
      <c r="G4" s="12" t="s">
        <v>17</v>
      </c>
      <c r="H4" s="12" t="s">
        <v>18</v>
      </c>
      <c r="I4" s="12" t="s">
        <v>19</v>
      </c>
    </row>
    <row r="5" customFormat="false" ht="15" hidden="false" customHeight="true" outlineLevel="0" collapsed="false">
      <c r="B5" s="4" t="s">
        <v>276</v>
      </c>
      <c r="C5" s="4"/>
      <c r="D5" s="4"/>
      <c r="E5" s="4"/>
      <c r="F5" s="4"/>
      <c r="G5" s="4"/>
      <c r="H5" s="4"/>
      <c r="I5" s="4"/>
    </row>
    <row r="6" customFormat="false" ht="15" hidden="false" customHeight="true" outlineLevel="0" collapsed="false">
      <c r="B6" s="13" t="s">
        <v>22</v>
      </c>
      <c r="C6" s="14" t="n">
        <f aca="false">'P&amp;L'!C25</f>
        <v>-130983.333333333</v>
      </c>
      <c r="D6" s="14" t="n">
        <f aca="false">'P&amp;L'!D25</f>
        <v>94360.8173515982</v>
      </c>
      <c r="E6" s="14" t="n">
        <f aca="false">'P&amp;L'!E25</f>
        <v>657962.719417352</v>
      </c>
      <c r="F6" s="14" t="n">
        <f aca="false">'P&amp;L'!F25</f>
        <v>1070914.11759019</v>
      </c>
      <c r="G6" s="14" t="n">
        <f aca="false">'P&amp;L'!G25</f>
        <v>5849234.38165921</v>
      </c>
      <c r="H6" s="14" t="n">
        <f aca="false">'P&amp;L'!H25</f>
        <v>14566565.032422</v>
      </c>
      <c r="I6" s="14" t="n">
        <f aca="false">'P&amp;L'!I25</f>
        <v>25660494.9131438</v>
      </c>
    </row>
    <row r="7" customFormat="false" ht="15" hidden="false" customHeight="true" outlineLevel="0" collapsed="false">
      <c r="B7" s="13" t="s">
        <v>277</v>
      </c>
      <c r="C7" s="14" t="n">
        <f aca="false">'WC &amp; Capex'!C27</f>
        <v>3333.33333333333</v>
      </c>
      <c r="D7" s="14" t="n">
        <f aca="false">'WC &amp; Capex'!D27</f>
        <v>4333.33333333333</v>
      </c>
      <c r="E7" s="14" t="n">
        <f aca="false">'WC &amp; Capex'!E27</f>
        <v>20220.8333333333</v>
      </c>
      <c r="F7" s="14" t="n">
        <f aca="false">'WC &amp; Capex'!F27</f>
        <v>67831.875</v>
      </c>
      <c r="G7" s="14" t="n">
        <f aca="false">'WC &amp; Capex'!G27</f>
        <v>182792.9875</v>
      </c>
      <c r="H7" s="14" t="n">
        <f aca="false">'WC &amp; Capex'!H27</f>
        <v>369910.95875</v>
      </c>
      <c r="I7" s="14" t="n">
        <f aca="false">'WC &amp; Capex'!I27</f>
        <v>621875.62875</v>
      </c>
    </row>
    <row r="8" customFormat="false" ht="15" hidden="false" customHeight="true" outlineLevel="0" collapsed="false">
      <c r="B8" s="13" t="s">
        <v>278</v>
      </c>
      <c r="C8" s="14" t="n">
        <f aca="false">-'WC &amp; Capex'!C21</f>
        <v>-23886.9863013699</v>
      </c>
      <c r="D8" s="14" t="n">
        <f aca="false">-('WC &amp; Capex'!D21-'WC &amp; Capex'!C21)</f>
        <v>-68039.3835616438</v>
      </c>
      <c r="E8" s="14" t="n">
        <f aca="false">-('WC &amp; Capex'!E21-'WC &amp; Capex'!D21)</f>
        <v>-125710.616438356</v>
      </c>
      <c r="F8" s="14" t="n">
        <f aca="false">-('WC &amp; Capex'!F21-'WC &amp; Capex'!E21)</f>
        <v>-480231.164383562</v>
      </c>
      <c r="G8" s="14" t="n">
        <f aca="false">-('WC &amp; Capex'!G21-'WC &amp; Capex'!F21)</f>
        <v>-890640.239726028</v>
      </c>
      <c r="H8" s="14" t="n">
        <f aca="false">-('WC &amp; Capex'!H21-'WC &amp; Capex'!G21)</f>
        <v>-1192388.4760274</v>
      </c>
      <c r="I8" s="14" t="n">
        <f aca="false">-('WC &amp; Capex'!I21-'WC &amp; Capex'!H21)</f>
        <v>-1368542.10616438</v>
      </c>
    </row>
    <row r="9" customFormat="false" ht="15" hidden="false" customHeight="true" outlineLevel="0" collapsed="false">
      <c r="B9" s="13" t="s">
        <v>279</v>
      </c>
      <c r="C9" s="14" t="n">
        <f aca="false">'WC &amp; Capex'!C22</f>
        <v>19109.5890410959</v>
      </c>
      <c r="D9" s="14" t="n">
        <f aca="false">'WC &amp; Capex'!D22-'WC &amp; Capex'!C22</f>
        <v>54431.5068493151</v>
      </c>
      <c r="E9" s="14" t="n">
        <f aca="false">'WC &amp; Capex'!E22-'WC &amp; Capex'!D22</f>
        <v>100568.493150685</v>
      </c>
      <c r="F9" s="14" t="n">
        <f aca="false">'WC &amp; Capex'!F22-'WC &amp; Capex'!E22</f>
        <v>384184.931506849</v>
      </c>
      <c r="G9" s="14" t="n">
        <f aca="false">'WC &amp; Capex'!G22-'WC &amp; Capex'!F22</f>
        <v>712512.191780822</v>
      </c>
      <c r="H9" s="14" t="n">
        <f aca="false">'WC &amp; Capex'!H22-'WC &amp; Capex'!G22</f>
        <v>953910.780821918</v>
      </c>
      <c r="I9" s="14" t="n">
        <f aca="false">'WC &amp; Capex'!I22-'WC &amp; Capex'!H22</f>
        <v>1094833.68493151</v>
      </c>
    </row>
    <row r="10" customFormat="false" ht="15" hidden="false" customHeight="true" outlineLevel="0" collapsed="false">
      <c r="B10" s="13" t="s">
        <v>280</v>
      </c>
      <c r="C10" s="14" t="n">
        <f aca="false">'WC &amp; Capex'!C23</f>
        <v>39156.1643835616</v>
      </c>
      <c r="D10" s="14" t="n">
        <f aca="false">'WC &amp; Capex'!D23-'WC &amp; Capex'!C23</f>
        <v>65991.7808219178</v>
      </c>
      <c r="E10" s="14" t="n">
        <f aca="false">'WC &amp; Capex'!E23-'WC &amp; Capex'!D23</f>
        <v>85767.1232876712</v>
      </c>
      <c r="F10" s="14" t="n">
        <f aca="false">'WC &amp; Capex'!F23-'WC &amp; Capex'!E23</f>
        <v>527712.328767123</v>
      </c>
      <c r="G10" s="14" t="n">
        <f aca="false">'WC &amp; Capex'!G23-'WC &amp; Capex'!F23</f>
        <v>559553.424657534</v>
      </c>
      <c r="H10" s="14" t="n">
        <f aca="false">'WC &amp; Capex'!H23-'WC &amp; Capex'!G23</f>
        <v>467194.520547945</v>
      </c>
      <c r="I10" s="14" t="n">
        <f aca="false">'WC &amp; Capex'!I23-'WC &amp; Capex'!H23</f>
        <v>437194.520547945</v>
      </c>
    </row>
    <row r="11" customFormat="false" ht="15" hidden="false" customHeight="true" outlineLevel="0" collapsed="false">
      <c r="B11" s="5" t="s">
        <v>45</v>
      </c>
      <c r="C11" s="28" t="n">
        <f aca="false">SUM(C6:C10)</f>
        <v>-93271.2328767123</v>
      </c>
      <c r="D11" s="28" t="n">
        <f aca="false">SUM(D6:D10)</f>
        <v>151078.054794521</v>
      </c>
      <c r="E11" s="28" t="n">
        <f aca="false">SUM(E6:E10)</f>
        <v>738808.552750685</v>
      </c>
      <c r="F11" s="28" t="n">
        <f aca="false">SUM(F6:F10)</f>
        <v>1570412.0884806</v>
      </c>
      <c r="G11" s="28" t="n">
        <f aca="false">SUM(G6:G10)</f>
        <v>6413452.74587154</v>
      </c>
      <c r="H11" s="28" t="n">
        <f aca="false">SUM(H6:H10)</f>
        <v>15165192.8165145</v>
      </c>
      <c r="I11" s="28" t="n">
        <f aca="false">SUM(I6:I10)</f>
        <v>26445856.6412089</v>
      </c>
    </row>
    <row r="13" customFormat="false" ht="15" hidden="false" customHeight="true" outlineLevel="0" collapsed="false">
      <c r="B13" s="4" t="s">
        <v>281</v>
      </c>
      <c r="C13" s="4"/>
      <c r="D13" s="4"/>
      <c r="E13" s="4"/>
      <c r="F13" s="4"/>
      <c r="G13" s="4"/>
      <c r="H13" s="4"/>
      <c r="I13" s="4"/>
    </row>
    <row r="14" customFormat="false" ht="15" hidden="false" customHeight="true" outlineLevel="0" collapsed="false">
      <c r="B14" s="13" t="s">
        <v>282</v>
      </c>
      <c r="C14" s="14" t="n">
        <f aca="false">-'WC &amp; Capex'!C26</f>
        <v>-10000</v>
      </c>
      <c r="D14" s="14" t="n">
        <f aca="false">-'WC &amp; Capex'!D26</f>
        <v>-3000</v>
      </c>
      <c r="E14" s="14" t="n">
        <f aca="false">-'WC &amp; Capex'!E26</f>
        <v>-47662.5</v>
      </c>
      <c r="F14" s="14" t="n">
        <f aca="false">-'WC &amp; Capex'!F26</f>
        <v>-152833.125</v>
      </c>
      <c r="G14" s="14" t="n">
        <f aca="false">-'WC &amp; Capex'!G26</f>
        <v>-347883.3375</v>
      </c>
      <c r="H14" s="14" t="n">
        <f aca="false">-'WC &amp; Capex'!H26</f>
        <v>-609016.41375</v>
      </c>
      <c r="I14" s="14" t="n">
        <f aca="false">-'WC &amp; Capex'!I26</f>
        <v>-908727.135</v>
      </c>
    </row>
    <row r="15" customFormat="false" ht="15" hidden="false" customHeight="true" outlineLevel="0" collapsed="false">
      <c r="B15" s="5" t="s">
        <v>283</v>
      </c>
      <c r="C15" s="28" t="n">
        <f aca="false">C14</f>
        <v>-10000</v>
      </c>
      <c r="D15" s="28" t="n">
        <f aca="false">D14</f>
        <v>-3000</v>
      </c>
      <c r="E15" s="28" t="n">
        <f aca="false">E14</f>
        <v>-47662.5</v>
      </c>
      <c r="F15" s="28" t="n">
        <f aca="false">F14</f>
        <v>-152833.125</v>
      </c>
      <c r="G15" s="28" t="n">
        <f aca="false">G14</f>
        <v>-347883.3375</v>
      </c>
      <c r="H15" s="28" t="n">
        <f aca="false">H14</f>
        <v>-609016.41375</v>
      </c>
      <c r="I15" s="28" t="n">
        <f aca="false">I14</f>
        <v>-908727.135</v>
      </c>
    </row>
    <row r="17" customFormat="false" ht="15" hidden="false" customHeight="true" outlineLevel="0" collapsed="false">
      <c r="B17" s="4" t="s">
        <v>284</v>
      </c>
      <c r="C17" s="4"/>
      <c r="D17" s="4"/>
      <c r="E17" s="4"/>
      <c r="F17" s="4"/>
      <c r="G17" s="4"/>
      <c r="H17" s="4"/>
      <c r="I17" s="4"/>
    </row>
    <row r="18" customFormat="false" ht="15" hidden="false" customHeight="true" outlineLevel="0" collapsed="false">
      <c r="B18" s="13" t="s">
        <v>285</v>
      </c>
      <c r="C18" s="14" t="n">
        <f aca="false">INDEX(Scenarios!$C$21:$I$23,Control!$C$8,1)</f>
        <v>1000000</v>
      </c>
      <c r="D18" s="14" t="n">
        <f aca="false">INDEX(Scenarios!$C$21:$I$23,Control!$C$8,2)</f>
        <v>0</v>
      </c>
      <c r="E18" s="14" t="n">
        <f aca="false">INDEX(Scenarios!$C$21:$I$23,Control!$C$8,3)</f>
        <v>0</v>
      </c>
      <c r="F18" s="14" t="n">
        <f aca="false">INDEX(Scenarios!$C$21:$I$23,Control!$C$8,4)</f>
        <v>8000000</v>
      </c>
      <c r="G18" s="14" t="n">
        <f aca="false">INDEX(Scenarios!$C$21:$I$23,Control!$C$8,5)</f>
        <v>0</v>
      </c>
      <c r="H18" s="14" t="n">
        <f aca="false">INDEX(Scenarios!$C$21:$I$23,Control!$C$8,6)</f>
        <v>0</v>
      </c>
      <c r="I18" s="14" t="n">
        <f aca="false">INDEX(Scenarios!$C$21:$I$23,Control!$C$8,7)</f>
        <v>0</v>
      </c>
    </row>
    <row r="19" customFormat="false" ht="15" hidden="false" customHeight="true" outlineLevel="0" collapsed="false">
      <c r="B19" s="5" t="s">
        <v>286</v>
      </c>
      <c r="C19" s="28" t="n">
        <f aca="false">C18</f>
        <v>1000000</v>
      </c>
      <c r="D19" s="28" t="n">
        <f aca="false">D18</f>
        <v>0</v>
      </c>
      <c r="E19" s="28" t="n">
        <f aca="false">E18</f>
        <v>0</v>
      </c>
      <c r="F19" s="28" t="n">
        <f aca="false">F18</f>
        <v>8000000</v>
      </c>
      <c r="G19" s="28" t="n">
        <f aca="false">G18</f>
        <v>0</v>
      </c>
      <c r="H19" s="28" t="n">
        <f aca="false">H18</f>
        <v>0</v>
      </c>
      <c r="I19" s="28" t="n">
        <f aca="false">I18</f>
        <v>0</v>
      </c>
    </row>
    <row r="21" customFormat="false" ht="15" hidden="false" customHeight="true" outlineLevel="0" collapsed="false">
      <c r="B21" s="5" t="s">
        <v>287</v>
      </c>
      <c r="C21" s="26" t="n">
        <f aca="false">C11+C15+C19</f>
        <v>896728.767123288</v>
      </c>
      <c r="D21" s="26" t="n">
        <f aca="false">D11+D15+D19</f>
        <v>148078.054794521</v>
      </c>
      <c r="E21" s="26" t="n">
        <f aca="false">E11+E15+E19</f>
        <v>691146.052750685</v>
      </c>
      <c r="F21" s="26" t="n">
        <f aca="false">F11+F15+F19</f>
        <v>9417578.9634806</v>
      </c>
      <c r="G21" s="26" t="n">
        <f aca="false">G11+G15+G19</f>
        <v>6065569.40837154</v>
      </c>
      <c r="H21" s="26" t="n">
        <f aca="false">H11+H15+H19</f>
        <v>14556176.4027645</v>
      </c>
      <c r="I21" s="26" t="n">
        <f aca="false">I11+I15+I19</f>
        <v>25537129.5062089</v>
      </c>
    </row>
    <row r="22" customFormat="false" ht="15" hidden="false" customHeight="true" outlineLevel="0" collapsed="false">
      <c r="B22" s="13" t="s">
        <v>288</v>
      </c>
      <c r="C22" s="22" t="n">
        <v>0</v>
      </c>
      <c r="D22" s="22" t="n">
        <f aca="false">C23</f>
        <v>896728.767123288</v>
      </c>
      <c r="E22" s="22" t="n">
        <f aca="false">D23</f>
        <v>1044806.82191781</v>
      </c>
      <c r="F22" s="22" t="n">
        <f aca="false">E23</f>
        <v>1735952.87466849</v>
      </c>
      <c r="G22" s="22" t="n">
        <f aca="false">F23</f>
        <v>11153531.8381491</v>
      </c>
      <c r="H22" s="22" t="n">
        <f aca="false">G23</f>
        <v>17219101.2465206</v>
      </c>
      <c r="I22" s="22" t="n">
        <f aca="false">H23</f>
        <v>31775277.6492851</v>
      </c>
    </row>
    <row r="23" customFormat="false" ht="15" hidden="false" customHeight="true" outlineLevel="0" collapsed="false">
      <c r="B23" s="73" t="s">
        <v>23</v>
      </c>
      <c r="C23" s="75" t="n">
        <f aca="false">C22+C21</f>
        <v>896728.767123288</v>
      </c>
      <c r="D23" s="75" t="n">
        <f aca="false">D22+D21</f>
        <v>1044806.82191781</v>
      </c>
      <c r="E23" s="75" t="n">
        <f aca="false">E22+E21</f>
        <v>1735952.87466849</v>
      </c>
      <c r="F23" s="75" t="n">
        <f aca="false">F22+F21</f>
        <v>11153531.8381491</v>
      </c>
      <c r="G23" s="75" t="n">
        <f aca="false">G22+G21</f>
        <v>17219101.2465206</v>
      </c>
      <c r="H23" s="75" t="n">
        <f aca="false">H22+H21</f>
        <v>31775277.6492851</v>
      </c>
      <c r="I23" s="75" t="n">
        <f aca="false">I22+I21</f>
        <v>57312407.155494</v>
      </c>
    </row>
  </sheetData>
  <mergeCells count="5">
    <mergeCell ref="B1:I1"/>
    <mergeCell ref="B2:I2"/>
    <mergeCell ref="B5:I5"/>
    <mergeCell ref="B13:I13"/>
    <mergeCell ref="B17:I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9" min="3" style="1" width="13"/>
  </cols>
  <sheetData>
    <row r="1" customFormat="false" ht="19.5" hidden="false" customHeight="true" outlineLevel="0" collapsed="false">
      <c r="B1" s="2" t="s">
        <v>289</v>
      </c>
      <c r="C1" s="2"/>
      <c r="D1" s="2"/>
      <c r="E1" s="2"/>
      <c r="F1" s="2"/>
      <c r="G1" s="2"/>
      <c r="H1" s="2"/>
      <c r="I1" s="2"/>
    </row>
    <row r="2" customFormat="false" ht="15" hidden="false" customHeight="true" outlineLevel="0" collapsed="false">
      <c r="B2" s="3" t="s">
        <v>290</v>
      </c>
      <c r="C2" s="3"/>
      <c r="D2" s="3"/>
      <c r="E2" s="3"/>
      <c r="F2" s="3"/>
      <c r="G2" s="3"/>
      <c r="H2" s="3"/>
      <c r="I2" s="3"/>
    </row>
    <row r="4" customFormat="false" ht="15" hidden="false" customHeight="true" outlineLevel="0" collapsed="false">
      <c r="B4" s="11"/>
      <c r="C4" s="12" t="s">
        <v>13</v>
      </c>
      <c r="D4" s="12" t="s">
        <v>14</v>
      </c>
      <c r="E4" s="12" t="s">
        <v>15</v>
      </c>
      <c r="F4" s="12" t="s">
        <v>16</v>
      </c>
      <c r="G4" s="12" t="s">
        <v>17</v>
      </c>
      <c r="H4" s="12" t="s">
        <v>18</v>
      </c>
      <c r="I4" s="12" t="s">
        <v>19</v>
      </c>
    </row>
    <row r="5" customFormat="false" ht="15" hidden="false" customHeight="true" outlineLevel="0" collapsed="false">
      <c r="B5" s="4" t="s">
        <v>291</v>
      </c>
      <c r="C5" s="4"/>
      <c r="D5" s="4"/>
      <c r="E5" s="4"/>
      <c r="F5" s="4"/>
      <c r="G5" s="4"/>
      <c r="H5" s="4"/>
      <c r="I5" s="4"/>
    </row>
    <row r="6" customFormat="false" ht="15" hidden="false" customHeight="true" outlineLevel="0" collapsed="false">
      <c r="B6" s="13" t="s">
        <v>292</v>
      </c>
      <c r="C6" s="14" t="n">
        <f aca="false">'Cash Flow'!C23</f>
        <v>896728.767123288</v>
      </c>
      <c r="D6" s="14" t="n">
        <f aca="false">'Cash Flow'!D23</f>
        <v>1044806.82191781</v>
      </c>
      <c r="E6" s="14" t="n">
        <f aca="false">'Cash Flow'!E23</f>
        <v>1735952.87466849</v>
      </c>
      <c r="F6" s="14" t="n">
        <f aca="false">'Cash Flow'!F23</f>
        <v>11153531.8381491</v>
      </c>
      <c r="G6" s="14" t="n">
        <f aca="false">'Cash Flow'!G23</f>
        <v>17219101.2465206</v>
      </c>
      <c r="H6" s="14" t="n">
        <f aca="false">'Cash Flow'!H23</f>
        <v>31775277.6492851</v>
      </c>
      <c r="I6" s="14" t="n">
        <f aca="false">'Cash Flow'!I23</f>
        <v>57312407.155494</v>
      </c>
    </row>
    <row r="7" customFormat="false" ht="15" hidden="false" customHeight="true" outlineLevel="0" collapsed="false">
      <c r="B7" s="13" t="s">
        <v>293</v>
      </c>
      <c r="C7" s="14" t="n">
        <f aca="false">'WC &amp; Capex'!C21</f>
        <v>23886.9863013699</v>
      </c>
      <c r="D7" s="14" t="n">
        <f aca="false">'WC &amp; Capex'!D21</f>
        <v>91926.3698630137</v>
      </c>
      <c r="E7" s="14" t="n">
        <f aca="false">'WC &amp; Capex'!E21</f>
        <v>217636.98630137</v>
      </c>
      <c r="F7" s="14" t="n">
        <f aca="false">'WC &amp; Capex'!F21</f>
        <v>697868.150684932</v>
      </c>
      <c r="G7" s="14" t="n">
        <f aca="false">'WC &amp; Capex'!G21</f>
        <v>1588508.39041096</v>
      </c>
      <c r="H7" s="14" t="n">
        <f aca="false">'WC &amp; Capex'!H21</f>
        <v>2780896.86643836</v>
      </c>
      <c r="I7" s="14" t="n">
        <f aca="false">'WC &amp; Capex'!I21</f>
        <v>4149438.97260274</v>
      </c>
    </row>
    <row r="8" customFormat="false" ht="15" hidden="false" customHeight="true" outlineLevel="0" collapsed="false">
      <c r="B8" s="13" t="s">
        <v>294</v>
      </c>
      <c r="C8" s="14" t="n">
        <f aca="false">'WC &amp; Capex'!C28</f>
        <v>6666.66666666667</v>
      </c>
      <c r="D8" s="14" t="n">
        <f aca="false">'WC &amp; Capex'!D28</f>
        <v>5333.33333333333</v>
      </c>
      <c r="E8" s="14" t="n">
        <f aca="false">'WC &amp; Capex'!E28</f>
        <v>32775</v>
      </c>
      <c r="F8" s="14" t="n">
        <f aca="false">'WC &amp; Capex'!F28</f>
        <v>117776.25</v>
      </c>
      <c r="G8" s="14" t="n">
        <f aca="false">'WC &amp; Capex'!G28</f>
        <v>282866.6</v>
      </c>
      <c r="H8" s="14" t="n">
        <f aca="false">'WC &amp; Capex'!H28</f>
        <v>521972.055</v>
      </c>
      <c r="I8" s="14" t="n">
        <f aca="false">'WC &amp; Capex'!I28</f>
        <v>808823.56125</v>
      </c>
    </row>
    <row r="9" customFormat="false" ht="15" hidden="false" customHeight="true" outlineLevel="0" collapsed="false">
      <c r="B9" s="5" t="s">
        <v>295</v>
      </c>
      <c r="C9" s="28" t="n">
        <f aca="false">SUM(C6:C8)</f>
        <v>927282.420091324</v>
      </c>
      <c r="D9" s="28" t="n">
        <f aca="false">SUM(D6:D8)</f>
        <v>1142066.52511416</v>
      </c>
      <c r="E9" s="28" t="n">
        <f aca="false">SUM(E6:E8)</f>
        <v>1986364.86096986</v>
      </c>
      <c r="F9" s="28" t="n">
        <f aca="false">SUM(F6:F8)</f>
        <v>11969176.238834</v>
      </c>
      <c r="G9" s="28" t="n">
        <f aca="false">SUM(G6:G8)</f>
        <v>19090476.2369316</v>
      </c>
      <c r="H9" s="28" t="n">
        <f aca="false">SUM(H6:H8)</f>
        <v>35078146.5707235</v>
      </c>
      <c r="I9" s="28" t="n">
        <f aca="false">SUM(I6:I8)</f>
        <v>62270669.6893468</v>
      </c>
    </row>
    <row r="11" customFormat="false" ht="15" hidden="false" customHeight="true" outlineLevel="0" collapsed="false">
      <c r="B11" s="4" t="s">
        <v>296</v>
      </c>
      <c r="C11" s="4"/>
      <c r="D11" s="4"/>
      <c r="E11" s="4"/>
      <c r="F11" s="4"/>
      <c r="G11" s="4"/>
      <c r="H11" s="4"/>
      <c r="I11" s="4"/>
    </row>
    <row r="12" customFormat="false" ht="15" hidden="false" customHeight="true" outlineLevel="0" collapsed="false">
      <c r="B12" s="13" t="s">
        <v>297</v>
      </c>
      <c r="C12" s="14" t="n">
        <f aca="false">'WC &amp; Capex'!C23</f>
        <v>39156.1643835616</v>
      </c>
      <c r="D12" s="14" t="n">
        <f aca="false">'WC &amp; Capex'!D23</f>
        <v>105147.945205479</v>
      </c>
      <c r="E12" s="14" t="n">
        <f aca="false">'WC &amp; Capex'!E23</f>
        <v>190915.068493151</v>
      </c>
      <c r="F12" s="14" t="n">
        <f aca="false">'WC &amp; Capex'!F23</f>
        <v>718627.397260274</v>
      </c>
      <c r="G12" s="14" t="n">
        <f aca="false">'WC &amp; Capex'!G23</f>
        <v>1278180.82191781</v>
      </c>
      <c r="H12" s="14" t="n">
        <f aca="false">'WC &amp; Capex'!H23</f>
        <v>1745375.34246575</v>
      </c>
      <c r="I12" s="14" t="n">
        <f aca="false">'WC &amp; Capex'!I23</f>
        <v>2182569.8630137</v>
      </c>
    </row>
    <row r="13" customFormat="false" ht="15" hidden="false" customHeight="true" outlineLevel="0" collapsed="false">
      <c r="B13" s="13" t="s">
        <v>298</v>
      </c>
      <c r="C13" s="14" t="n">
        <f aca="false">'WC &amp; Capex'!C22</f>
        <v>19109.5890410959</v>
      </c>
      <c r="D13" s="14" t="n">
        <f aca="false">'WC &amp; Capex'!D22</f>
        <v>73541.095890411</v>
      </c>
      <c r="E13" s="14" t="n">
        <f aca="false">'WC &amp; Capex'!E22</f>
        <v>174109.589041096</v>
      </c>
      <c r="F13" s="14" t="n">
        <f aca="false">'WC &amp; Capex'!F22</f>
        <v>558294.520547945</v>
      </c>
      <c r="G13" s="14" t="n">
        <f aca="false">'WC &amp; Capex'!G22</f>
        <v>1270806.71232877</v>
      </c>
      <c r="H13" s="14" t="n">
        <f aca="false">'WC &amp; Capex'!H22</f>
        <v>2224717.49315069</v>
      </c>
      <c r="I13" s="14" t="n">
        <f aca="false">'WC &amp; Capex'!I22</f>
        <v>3319551.17808219</v>
      </c>
    </row>
    <row r="14" customFormat="false" ht="15" hidden="false" customHeight="true" outlineLevel="0" collapsed="false">
      <c r="B14" s="5" t="s">
        <v>299</v>
      </c>
      <c r="C14" s="72" t="n">
        <f aca="false">C12+C13</f>
        <v>58265.7534246575</v>
      </c>
      <c r="D14" s="72" t="n">
        <f aca="false">D12+D13</f>
        <v>178689.04109589</v>
      </c>
      <c r="E14" s="72" t="n">
        <f aca="false">E12+E13</f>
        <v>365024.657534247</v>
      </c>
      <c r="F14" s="72" t="n">
        <f aca="false">F12+F13</f>
        <v>1276921.91780822</v>
      </c>
      <c r="G14" s="72" t="n">
        <f aca="false">G12+G13</f>
        <v>2548987.53424658</v>
      </c>
      <c r="H14" s="72" t="n">
        <f aca="false">H12+H13</f>
        <v>3970092.83561644</v>
      </c>
      <c r="I14" s="72" t="n">
        <f aca="false">I12+I13</f>
        <v>5502121.04109589</v>
      </c>
    </row>
    <row r="16" customFormat="false" ht="15" hidden="false" customHeight="true" outlineLevel="0" collapsed="false">
      <c r="B16" s="4" t="s">
        <v>300</v>
      </c>
      <c r="C16" s="4"/>
      <c r="D16" s="4"/>
      <c r="E16" s="4"/>
      <c r="F16" s="4"/>
      <c r="G16" s="4"/>
      <c r="H16" s="4"/>
      <c r="I16" s="4"/>
    </row>
    <row r="17" customFormat="false" ht="15" hidden="false" customHeight="true" outlineLevel="0" collapsed="false">
      <c r="B17" s="13" t="s">
        <v>301</v>
      </c>
      <c r="C17" s="14" t="n">
        <f aca="false">'Cash Flow'!C18</f>
        <v>1000000</v>
      </c>
      <c r="D17" s="14" t="n">
        <f aca="false">C17+'Cash Flow'!D18</f>
        <v>1000000</v>
      </c>
      <c r="E17" s="14" t="n">
        <f aca="false">D17+'Cash Flow'!E18</f>
        <v>1000000</v>
      </c>
      <c r="F17" s="14" t="n">
        <f aca="false">E17+'Cash Flow'!F18</f>
        <v>9000000</v>
      </c>
      <c r="G17" s="14" t="n">
        <f aca="false">F17+'Cash Flow'!G18</f>
        <v>9000000</v>
      </c>
      <c r="H17" s="14" t="n">
        <f aca="false">G17+'Cash Flow'!H18</f>
        <v>9000000</v>
      </c>
      <c r="I17" s="14" t="n">
        <f aca="false">H17+'Cash Flow'!I18</f>
        <v>9000000</v>
      </c>
    </row>
    <row r="18" customFormat="false" ht="15" hidden="false" customHeight="true" outlineLevel="0" collapsed="false">
      <c r="B18" s="13" t="s">
        <v>302</v>
      </c>
      <c r="C18" s="14" t="n">
        <f aca="false">'P&amp;L'!C25</f>
        <v>-130983.333333333</v>
      </c>
      <c r="D18" s="14" t="n">
        <f aca="false">C18+'P&amp;L'!D25</f>
        <v>-36622.5159817352</v>
      </c>
      <c r="E18" s="14" t="n">
        <f aca="false">D18+'P&amp;L'!E25</f>
        <v>621340.203435617</v>
      </c>
      <c r="F18" s="14" t="n">
        <f aca="false">E18+'P&amp;L'!F25</f>
        <v>1692254.3210258</v>
      </c>
      <c r="G18" s="14" t="n">
        <f aca="false">F18+'P&amp;L'!G25</f>
        <v>7541488.70268502</v>
      </c>
      <c r="H18" s="14" t="n">
        <f aca="false">G18+'P&amp;L'!H25</f>
        <v>22108053.735107</v>
      </c>
      <c r="I18" s="14" t="n">
        <f aca="false">H18+'P&amp;L'!I25</f>
        <v>47768548.6482509</v>
      </c>
    </row>
    <row r="19" customFormat="false" ht="15" hidden="false" customHeight="true" outlineLevel="0" collapsed="false">
      <c r="B19" s="5" t="s">
        <v>303</v>
      </c>
      <c r="C19" s="27" t="n">
        <f aca="false">C17+C18</f>
        <v>869016.666666667</v>
      </c>
      <c r="D19" s="27" t="n">
        <f aca="false">D17+D18</f>
        <v>963377.484018265</v>
      </c>
      <c r="E19" s="27" t="n">
        <f aca="false">E17+E18</f>
        <v>1621340.20343562</v>
      </c>
      <c r="F19" s="27" t="n">
        <f aca="false">F17+F18</f>
        <v>10692254.3210258</v>
      </c>
      <c r="G19" s="27" t="n">
        <f aca="false">G17+G18</f>
        <v>16541488.702685</v>
      </c>
      <c r="H19" s="27" t="n">
        <f aca="false">H17+H18</f>
        <v>31108053.735107</v>
      </c>
      <c r="I19" s="27" t="n">
        <f aca="false">I17+I18</f>
        <v>56768548.6482509</v>
      </c>
    </row>
    <row r="20" customFormat="false" ht="15" hidden="false" customHeight="true" outlineLevel="0" collapsed="false">
      <c r="B20" s="32" t="s">
        <v>304</v>
      </c>
      <c r="C20" s="77" t="n">
        <f aca="false">C9-C14-C19</f>
        <v>0</v>
      </c>
      <c r="D20" s="77" t="n">
        <f aca="false">D9-D14-D19</f>
        <v>0</v>
      </c>
      <c r="E20" s="77" t="n">
        <f aca="false">E9-E14-E19</f>
        <v>0</v>
      </c>
      <c r="F20" s="77" t="n">
        <f aca="false">F9-F14-F19</f>
        <v>0</v>
      </c>
      <c r="G20" s="77" t="n">
        <f aca="false">G9-G14-G19</f>
        <v>0</v>
      </c>
      <c r="H20" s="77" t="n">
        <f aca="false">H9-H14-H19</f>
        <v>0</v>
      </c>
      <c r="I20" s="77" t="n">
        <f aca="false">I9-I14-I19</f>
        <v>0</v>
      </c>
    </row>
  </sheetData>
  <mergeCells count="5">
    <mergeCell ref="B1:I1"/>
    <mergeCell ref="B2:I2"/>
    <mergeCell ref="B5:I5"/>
    <mergeCell ref="B11:I11"/>
    <mergeCell ref="B16:I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9" min="3" style="1" width="13"/>
  </cols>
  <sheetData>
    <row r="1" customFormat="false" ht="19.5" hidden="false" customHeight="true" outlineLevel="0" collapsed="false">
      <c r="B1" s="2" t="s">
        <v>305</v>
      </c>
      <c r="C1" s="2"/>
      <c r="D1" s="2"/>
      <c r="E1" s="2"/>
      <c r="F1" s="2"/>
      <c r="G1" s="2"/>
      <c r="H1" s="2"/>
      <c r="I1" s="2"/>
    </row>
    <row r="2" customFormat="false" ht="15" hidden="false" customHeight="true" outlineLevel="0" collapsed="false">
      <c r="B2" s="3" t="s">
        <v>306</v>
      </c>
      <c r="C2" s="3"/>
      <c r="D2" s="3"/>
      <c r="E2" s="3"/>
      <c r="F2" s="3"/>
      <c r="G2" s="3"/>
      <c r="H2" s="3"/>
      <c r="I2" s="3"/>
    </row>
    <row r="4" customFormat="false" ht="15" hidden="false" customHeight="true" outlineLevel="0" collapsed="false">
      <c r="B4" s="11"/>
      <c r="C4" s="12" t="s">
        <v>13</v>
      </c>
      <c r="D4" s="12" t="s">
        <v>14</v>
      </c>
      <c r="E4" s="12" t="s">
        <v>15</v>
      </c>
      <c r="F4" s="12" t="s">
        <v>16</v>
      </c>
      <c r="G4" s="12" t="s">
        <v>17</v>
      </c>
      <c r="H4" s="12" t="s">
        <v>18</v>
      </c>
      <c r="I4" s="12" t="s">
        <v>19</v>
      </c>
    </row>
    <row r="5" customFormat="false" ht="15" hidden="false" customHeight="true" outlineLevel="0" collapsed="false">
      <c r="B5" s="4" t="s">
        <v>307</v>
      </c>
      <c r="C5" s="4"/>
      <c r="D5" s="4"/>
      <c r="E5" s="4"/>
      <c r="F5" s="4"/>
      <c r="G5" s="4"/>
      <c r="H5" s="4"/>
      <c r="I5" s="4"/>
    </row>
    <row r="6" customFormat="false" ht="15" hidden="false" customHeight="true" outlineLevel="0" collapsed="false">
      <c r="B6" s="13" t="s">
        <v>7</v>
      </c>
      <c r="C6" s="52" t="n">
        <f aca="false">'Revenue Build - Pressure Test'!C115</f>
        <v>348750</v>
      </c>
      <c r="D6" s="52" t="n">
        <f aca="false">'Revenue Build - Pressure Test'!D115</f>
        <v>1342125</v>
      </c>
      <c r="E6" s="52" t="n">
        <f aca="false">'Revenue Build - Pressure Test'!E115</f>
        <v>3177500</v>
      </c>
      <c r="F6" s="52" t="n">
        <f aca="false">'Revenue Build - Pressure Test'!F115</f>
        <v>5081000</v>
      </c>
      <c r="G6" s="52" t="n">
        <f aca="false">'Revenue Build - Pressure Test'!G115</f>
        <v>6862422.5</v>
      </c>
      <c r="H6" s="52" t="n">
        <f aca="false">'Revenue Build - Pressure Test'!H115</f>
        <v>9305516.75</v>
      </c>
      <c r="I6" s="52" t="n">
        <f aca="false">'Revenue Build - Pressure Test'!I115</f>
        <v>11816789</v>
      </c>
    </row>
    <row r="7" customFormat="false" ht="15" hidden="false" customHeight="true" outlineLevel="0" collapsed="false">
      <c r="B7" s="5" t="s">
        <v>4</v>
      </c>
      <c r="C7" s="52" t="n">
        <f aca="false">'Revenue Build - Pressure Test'!C152</f>
        <v>348750</v>
      </c>
      <c r="D7" s="52" t="n">
        <f aca="false">'Revenue Build - Pressure Test'!D152</f>
        <v>1342125</v>
      </c>
      <c r="E7" s="52" t="n">
        <f aca="false">'Revenue Build - Pressure Test'!E152</f>
        <v>3177500</v>
      </c>
      <c r="F7" s="52" t="n">
        <f aca="false">'Revenue Build - Pressure Test'!F152</f>
        <v>10188875</v>
      </c>
      <c r="G7" s="52" t="n">
        <f aca="false">'Revenue Build - Pressure Test'!G152</f>
        <v>23192222.5</v>
      </c>
      <c r="H7" s="52" t="n">
        <f aca="false">'Revenue Build - Pressure Test'!H152</f>
        <v>40601094.25</v>
      </c>
      <c r="I7" s="52" t="n">
        <f aca="false">'Revenue Build - Pressure Test'!I152</f>
        <v>60581809</v>
      </c>
    </row>
    <row r="8" customFormat="false" ht="15" hidden="false" customHeight="true" outlineLevel="0" collapsed="false">
      <c r="B8" s="13" t="s">
        <v>10</v>
      </c>
      <c r="C8" s="52" t="n">
        <f aca="false">'Revenue Build - Pressure Test'!C173</f>
        <v>348750</v>
      </c>
      <c r="D8" s="52" t="n">
        <f aca="false">'Revenue Build - Pressure Test'!D173</f>
        <v>1342125</v>
      </c>
      <c r="E8" s="52" t="n">
        <f aca="false">'Revenue Build - Pressure Test'!E173</f>
        <v>3177500</v>
      </c>
      <c r="F8" s="52" t="n">
        <f aca="false">'Revenue Build - Pressure Test'!F173</f>
        <v>10019250</v>
      </c>
      <c r="G8" s="52" t="n">
        <f aca="false">'Revenue Build - Pressure Test'!G173</f>
        <v>27953722.5</v>
      </c>
      <c r="H8" s="52" t="n">
        <f aca="false">'Revenue Build - Pressure Test'!H173</f>
        <v>56027881.75</v>
      </c>
      <c r="I8" s="52" t="n">
        <f aca="false">'Revenue Build - Pressure Test'!I173</f>
        <v>91343109</v>
      </c>
    </row>
    <row r="10" customFormat="false" ht="15" hidden="false" customHeight="true" outlineLevel="0" collapsed="false">
      <c r="B10" s="4" t="s">
        <v>308</v>
      </c>
      <c r="C10" s="4"/>
      <c r="D10" s="4"/>
      <c r="E10" s="4"/>
      <c r="F10" s="4"/>
      <c r="G10" s="4"/>
      <c r="H10" s="4"/>
      <c r="I10" s="4"/>
    </row>
    <row r="11" customFormat="false" ht="15" hidden="false" customHeight="true" outlineLevel="0" collapsed="false">
      <c r="B11" s="13" t="s">
        <v>7</v>
      </c>
      <c r="C11" s="56" t="n">
        <v>0.42</v>
      </c>
      <c r="D11" s="56" t="n">
        <v>0.55</v>
      </c>
      <c r="E11" s="56" t="n">
        <v>0.64</v>
      </c>
      <c r="F11" s="56" t="n">
        <v>0.7</v>
      </c>
      <c r="G11" s="56" t="n">
        <v>0.75</v>
      </c>
      <c r="H11" s="56" t="n">
        <v>0.77</v>
      </c>
      <c r="I11" s="56" t="n">
        <v>0.79</v>
      </c>
    </row>
    <row r="12" customFormat="false" ht="15" hidden="false" customHeight="true" outlineLevel="0" collapsed="false">
      <c r="B12" s="5" t="s">
        <v>4</v>
      </c>
      <c r="C12" s="56" t="n">
        <v>0.42</v>
      </c>
      <c r="D12" s="56" t="n">
        <v>0.55</v>
      </c>
      <c r="E12" s="56" t="n">
        <v>0.64</v>
      </c>
      <c r="F12" s="56" t="n">
        <v>0.66</v>
      </c>
      <c r="G12" s="56" t="n">
        <v>0.71</v>
      </c>
      <c r="H12" s="56" t="n">
        <v>0.75</v>
      </c>
      <c r="I12" s="56" t="n">
        <v>0.78</v>
      </c>
    </row>
    <row r="13" customFormat="false" ht="15" hidden="false" customHeight="true" outlineLevel="0" collapsed="false">
      <c r="B13" s="13" t="s">
        <v>10</v>
      </c>
      <c r="C13" s="56" t="n">
        <v>0.42</v>
      </c>
      <c r="D13" s="56" t="n">
        <v>0.55</v>
      </c>
      <c r="E13" s="56" t="n">
        <v>0.64</v>
      </c>
      <c r="F13" s="56" t="n">
        <v>0.65</v>
      </c>
      <c r="G13" s="56" t="n">
        <v>0.72</v>
      </c>
      <c r="H13" s="56" t="n">
        <v>0.77</v>
      </c>
      <c r="I13" s="56" t="n">
        <v>0.82</v>
      </c>
    </row>
    <row r="15" customFormat="false" ht="15" hidden="false" customHeight="true" outlineLevel="0" collapsed="false">
      <c r="B15" s="4" t="s">
        <v>309</v>
      </c>
      <c r="C15" s="4"/>
      <c r="D15" s="4"/>
      <c r="E15" s="4"/>
      <c r="F15" s="4"/>
      <c r="G15" s="4"/>
      <c r="H15" s="4"/>
      <c r="I15" s="4"/>
    </row>
    <row r="16" customFormat="false" ht="15" hidden="false" customHeight="true" outlineLevel="0" collapsed="false">
      <c r="B16" s="78" t="s">
        <v>7</v>
      </c>
      <c r="C16" s="79" t="n">
        <v>550000</v>
      </c>
      <c r="D16" s="79" t="n">
        <v>1350000</v>
      </c>
      <c r="E16" s="79" t="n">
        <v>3000000</v>
      </c>
      <c r="F16" s="79" t="n">
        <v>4900000</v>
      </c>
      <c r="G16" s="79" t="n">
        <v>7300000</v>
      </c>
      <c r="H16" s="79" t="n">
        <v>9800000</v>
      </c>
      <c r="I16" s="79" t="n">
        <v>12500000</v>
      </c>
    </row>
    <row r="17" customFormat="false" ht="15" hidden="false" customHeight="true" outlineLevel="0" collapsed="false">
      <c r="B17" s="78" t="s">
        <v>4</v>
      </c>
      <c r="C17" s="79" t="n">
        <v>550000</v>
      </c>
      <c r="D17" s="79" t="n">
        <v>1350000</v>
      </c>
      <c r="E17" s="79" t="n">
        <v>3000000</v>
      </c>
      <c r="F17" s="79" t="n">
        <v>11400000</v>
      </c>
      <c r="G17" s="79" t="n">
        <v>21700000</v>
      </c>
      <c r="H17" s="79" t="n">
        <v>29700000</v>
      </c>
      <c r="I17" s="79" t="n">
        <v>34000000</v>
      </c>
    </row>
    <row r="18" customFormat="false" ht="15" hidden="false" customHeight="true" outlineLevel="0" collapsed="false">
      <c r="B18" s="78" t="s">
        <v>10</v>
      </c>
      <c r="C18" s="79" t="n">
        <v>550000</v>
      </c>
      <c r="D18" s="79" t="n">
        <v>1350000</v>
      </c>
      <c r="E18" s="79" t="n">
        <v>3200000</v>
      </c>
      <c r="F18" s="79" t="n">
        <v>14500000</v>
      </c>
      <c r="G18" s="79" t="n">
        <v>29500000</v>
      </c>
      <c r="H18" s="79" t="n">
        <v>44500000</v>
      </c>
      <c r="I18" s="79" t="n">
        <v>50000000</v>
      </c>
    </row>
    <row r="20" customFormat="false" ht="15" hidden="false" customHeight="true" outlineLevel="0" collapsed="false">
      <c r="B20" s="4" t="s">
        <v>310</v>
      </c>
      <c r="C20" s="4"/>
      <c r="D20" s="4"/>
      <c r="E20" s="4"/>
      <c r="F20" s="4"/>
      <c r="G20" s="4"/>
      <c r="H20" s="4"/>
      <c r="I20" s="4"/>
    </row>
    <row r="21" customFormat="false" ht="15" hidden="false" customHeight="true" outlineLevel="0" collapsed="false">
      <c r="B21" s="13" t="s">
        <v>7</v>
      </c>
      <c r="C21" s="52" t="n">
        <v>1000000</v>
      </c>
      <c r="D21" s="52" t="n">
        <v>0</v>
      </c>
      <c r="E21" s="52" t="n">
        <v>0</v>
      </c>
      <c r="F21" s="52" t="n">
        <v>0</v>
      </c>
      <c r="G21" s="52" t="n">
        <v>0</v>
      </c>
      <c r="H21" s="52" t="n">
        <v>0</v>
      </c>
      <c r="I21" s="52" t="n">
        <v>0</v>
      </c>
    </row>
    <row r="22" customFormat="false" ht="15" hidden="false" customHeight="true" outlineLevel="0" collapsed="false">
      <c r="B22" s="5" t="s">
        <v>4</v>
      </c>
      <c r="C22" s="52" t="n">
        <v>1000000</v>
      </c>
      <c r="D22" s="52" t="n">
        <v>0</v>
      </c>
      <c r="E22" s="52" t="n">
        <v>0</v>
      </c>
      <c r="F22" s="52" t="n">
        <v>8000000</v>
      </c>
      <c r="G22" s="52" t="n">
        <v>0</v>
      </c>
      <c r="H22" s="52" t="n">
        <v>0</v>
      </c>
      <c r="I22" s="52" t="n">
        <v>0</v>
      </c>
    </row>
    <row r="23" customFormat="false" ht="15" hidden="false" customHeight="true" outlineLevel="0" collapsed="false">
      <c r="B23" s="13" t="s">
        <v>10</v>
      </c>
      <c r="C23" s="52" t="n">
        <v>1000000</v>
      </c>
      <c r="D23" s="52" t="n">
        <v>0</v>
      </c>
      <c r="E23" s="52" t="n">
        <v>0</v>
      </c>
      <c r="F23" s="52" t="n">
        <v>8000000</v>
      </c>
      <c r="G23" s="52" t="n">
        <v>30000000</v>
      </c>
      <c r="H23" s="52" t="n">
        <v>0</v>
      </c>
      <c r="I23" s="52" t="n">
        <v>0</v>
      </c>
    </row>
    <row r="25" customFormat="false" ht="15" hidden="false" customHeight="true" outlineLevel="0" collapsed="false">
      <c r="B25" s="7" t="s">
        <v>7</v>
      </c>
    </row>
    <row r="26" customFormat="false" ht="15" hidden="false" customHeight="true" outlineLevel="0" collapsed="false">
      <c r="B26" s="7" t="s">
        <v>4</v>
      </c>
    </row>
    <row r="27" customFormat="false" ht="15" hidden="false" customHeight="true" outlineLevel="0" collapsed="false">
      <c r="B27" s="7" t="s">
        <v>10</v>
      </c>
    </row>
  </sheetData>
  <mergeCells count="6">
    <mergeCell ref="B1:I1"/>
    <mergeCell ref="B2:I2"/>
    <mergeCell ref="B5:I5"/>
    <mergeCell ref="B10:I10"/>
    <mergeCell ref="B15:I15"/>
    <mergeCell ref="B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9" min="3" style="1" width="12"/>
  </cols>
  <sheetData>
    <row r="1" customFormat="false" ht="19.5" hidden="false" customHeight="true" outlineLevel="0" collapsed="false">
      <c r="B1" s="2" t="s">
        <v>311</v>
      </c>
      <c r="C1" s="2"/>
      <c r="D1" s="2"/>
      <c r="E1" s="2"/>
      <c r="F1" s="2"/>
      <c r="G1" s="2"/>
      <c r="H1" s="2"/>
      <c r="I1" s="2"/>
    </row>
    <row r="2" customFormat="false" ht="15" hidden="false" customHeight="true" outlineLevel="0" collapsed="false">
      <c r="B2" s="3" t="s">
        <v>312</v>
      </c>
      <c r="C2" s="3"/>
      <c r="D2" s="3"/>
      <c r="E2" s="3"/>
      <c r="F2" s="3"/>
      <c r="G2" s="3"/>
      <c r="H2" s="3"/>
      <c r="I2" s="3"/>
    </row>
    <row r="4" customFormat="false" ht="15" hidden="false" customHeight="true" outlineLevel="0" collapsed="false">
      <c r="B4" s="11"/>
      <c r="C4" s="12" t="s">
        <v>13</v>
      </c>
      <c r="D4" s="12" t="s">
        <v>14</v>
      </c>
      <c r="E4" s="12" t="s">
        <v>15</v>
      </c>
      <c r="F4" s="12" t="s">
        <v>16</v>
      </c>
      <c r="G4" s="12" t="s">
        <v>17</v>
      </c>
      <c r="H4" s="12" t="s">
        <v>18</v>
      </c>
      <c r="I4" s="12" t="s">
        <v>19</v>
      </c>
    </row>
    <row r="6" customFormat="false" ht="15" hidden="false" customHeight="true" outlineLevel="0" collapsed="false">
      <c r="B6" s="4" t="s">
        <v>313</v>
      </c>
      <c r="C6" s="4"/>
      <c r="D6" s="4"/>
      <c r="E6" s="4"/>
      <c r="F6" s="4"/>
      <c r="G6" s="4"/>
      <c r="H6" s="4"/>
      <c r="I6" s="4"/>
    </row>
    <row r="7" customFormat="false" ht="15" hidden="false" customHeight="true" outlineLevel="0" collapsed="false">
      <c r="B7" s="13" t="s">
        <v>314</v>
      </c>
      <c r="C7" s="52" t="n">
        <v>4000</v>
      </c>
    </row>
    <row r="8" customFormat="false" ht="15" hidden="false" customHeight="true" outlineLevel="0" collapsed="false">
      <c r="B8" s="13" t="s">
        <v>315</v>
      </c>
      <c r="C8" s="52" t="n">
        <v>4500</v>
      </c>
    </row>
    <row r="9" customFormat="false" ht="15" hidden="false" customHeight="true" outlineLevel="0" collapsed="false">
      <c r="B9" s="13" t="s">
        <v>316</v>
      </c>
      <c r="C9" s="52" t="n">
        <v>5000</v>
      </c>
    </row>
    <row r="10" customFormat="false" ht="15" hidden="false" customHeight="true" outlineLevel="0" collapsed="false">
      <c r="B10" s="32" t="s">
        <v>317</v>
      </c>
      <c r="C10" s="80" t="n">
        <f aca="false">C8*12</f>
        <v>54000</v>
      </c>
    </row>
    <row r="12" customFormat="false" ht="15" hidden="false" customHeight="true" outlineLevel="0" collapsed="false">
      <c r="B12" s="13" t="s">
        <v>318</v>
      </c>
      <c r="C12" s="81" t="n">
        <v>10</v>
      </c>
    </row>
    <row r="13" customFormat="false" ht="15" hidden="false" customHeight="true" outlineLevel="0" collapsed="false">
      <c r="B13" s="13" t="s">
        <v>319</v>
      </c>
      <c r="C13" s="81" t="n">
        <v>5</v>
      </c>
    </row>
    <row r="14" customFormat="false" ht="15" hidden="false" customHeight="true" outlineLevel="0" collapsed="false">
      <c r="B14" s="13" t="s">
        <v>320</v>
      </c>
      <c r="C14" s="56" t="n">
        <v>0.55</v>
      </c>
    </row>
    <row r="15" customFormat="false" ht="15" hidden="false" customHeight="true" outlineLevel="0" collapsed="false">
      <c r="B15" s="13" t="s">
        <v>321</v>
      </c>
      <c r="C15" s="18" t="n">
        <f aca="false">1-C14</f>
        <v>0.45</v>
      </c>
    </row>
    <row r="16" customFormat="false" ht="15" hidden="false" customHeight="true" outlineLevel="0" collapsed="false">
      <c r="B16" s="32" t="s">
        <v>322</v>
      </c>
      <c r="C16" s="82" t="n">
        <f aca="false">C14*C12+C15*C13</f>
        <v>7.75</v>
      </c>
    </row>
    <row r="18" customFormat="false" ht="15" hidden="false" customHeight="true" outlineLevel="0" collapsed="false">
      <c r="B18" s="13" t="s">
        <v>323</v>
      </c>
      <c r="C18" s="83" t="n">
        <v>15</v>
      </c>
    </row>
    <row r="19" customFormat="false" ht="15" hidden="false" customHeight="true" outlineLevel="0" collapsed="false">
      <c r="B19" s="13" t="s">
        <v>324</v>
      </c>
      <c r="C19" s="83" t="n">
        <v>5</v>
      </c>
    </row>
    <row r="20" customFormat="false" ht="15" hidden="false" customHeight="true" outlineLevel="0" collapsed="false">
      <c r="B20" s="13" t="s">
        <v>325</v>
      </c>
      <c r="C20" s="83" t="n">
        <v>3</v>
      </c>
    </row>
    <row r="21" customFormat="false" ht="15" hidden="false" customHeight="true" outlineLevel="0" collapsed="false">
      <c r="B21" s="13" t="s">
        <v>326</v>
      </c>
      <c r="C21" s="56" t="n">
        <v>1</v>
      </c>
    </row>
    <row r="22" customFormat="false" ht="15" hidden="false" customHeight="true" outlineLevel="0" collapsed="false">
      <c r="B22" s="13" t="s">
        <v>327</v>
      </c>
      <c r="C22" s="56" t="n">
        <v>0.9</v>
      </c>
    </row>
    <row r="24" customFormat="false" ht="15" hidden="false" customHeight="true" outlineLevel="0" collapsed="false">
      <c r="B24" s="4" t="s">
        <v>328</v>
      </c>
      <c r="C24" s="4"/>
      <c r="D24" s="4"/>
      <c r="E24" s="4"/>
      <c r="F24" s="4"/>
      <c r="G24" s="4"/>
      <c r="H24" s="4"/>
      <c r="I24" s="4"/>
    </row>
    <row r="25" customFormat="false" ht="15" hidden="false" customHeight="true" outlineLevel="0" collapsed="false">
      <c r="B25" s="13" t="s">
        <v>329</v>
      </c>
      <c r="C25" s="83" t="n">
        <v>10</v>
      </c>
      <c r="D25" s="83" t="n">
        <v>8</v>
      </c>
      <c r="E25" s="83" t="n">
        <v>6</v>
      </c>
      <c r="F25" s="83" t="n">
        <v>4</v>
      </c>
      <c r="G25" s="83" t="n">
        <v>3</v>
      </c>
      <c r="H25" s="83" t="n">
        <v>2</v>
      </c>
      <c r="I25" s="83" t="n">
        <v>2</v>
      </c>
    </row>
    <row r="26" customFormat="false" ht="15" hidden="false" customHeight="true" outlineLevel="0" collapsed="false">
      <c r="B26" s="13" t="s">
        <v>330</v>
      </c>
      <c r="C26" s="84" t="n">
        <f aca="false">CHOOSE(Control!$C$8,'S&amp;M Build'!C12,'S&amp;M Build'!C19,'S&amp;M Build'!C26)</f>
        <v>0</v>
      </c>
      <c r="D26" s="84" t="n">
        <f aca="false">CHOOSE(Control!$C$8,'S&amp;M Build'!D12,'S&amp;M Build'!D19,'S&amp;M Build'!D26)</f>
        <v>1</v>
      </c>
      <c r="E26" s="84" t="n">
        <f aca="false">CHOOSE(Control!$C$8,'S&amp;M Build'!E12,'S&amp;M Build'!E19,'S&amp;M Build'!E26)</f>
        <v>2</v>
      </c>
      <c r="F26" s="84" t="n">
        <f aca="false">CHOOSE(Control!$C$8,'S&amp;M Build'!F12,'S&amp;M Build'!F19,'S&amp;M Build'!F26)</f>
        <v>7</v>
      </c>
      <c r="G26" s="84" t="n">
        <f aca="false">CHOOSE(Control!$C$8,'S&amp;M Build'!G12,'S&amp;M Build'!G19,'S&amp;M Build'!G26)</f>
        <v>11</v>
      </c>
      <c r="H26" s="84" t="n">
        <f aca="false">CHOOSE(Control!$C$8,'S&amp;M Build'!H12,'S&amp;M Build'!H19,'S&amp;M Build'!H26)</f>
        <v>14</v>
      </c>
      <c r="I26" s="84" t="n">
        <f aca="false">CHOOSE(Control!$C$8,'S&amp;M Build'!I12,'S&amp;M Build'!I19,'S&amp;M Build'!I26)</f>
        <v>16</v>
      </c>
    </row>
    <row r="27" customFormat="false" ht="15" hidden="false" customHeight="true" outlineLevel="0" collapsed="false">
      <c r="B27" s="13" t="s">
        <v>331</v>
      </c>
      <c r="C27" s="84" t="n">
        <f aca="false">CHOOSE(Control!$C$8,'S&amp;M Build'!C13,'S&amp;M Build'!C20,'S&amp;M Build'!C27)</f>
        <v>0</v>
      </c>
      <c r="D27" s="84" t="n">
        <f aca="false">CHOOSE(Control!$C$8,'S&amp;M Build'!D13,'S&amp;M Build'!D20,'S&amp;M Build'!D27)</f>
        <v>0</v>
      </c>
      <c r="E27" s="84" t="n">
        <f aca="false">CHOOSE(Control!$C$8,'S&amp;M Build'!E13,'S&amp;M Build'!E20,'S&amp;M Build'!E27)</f>
        <v>0</v>
      </c>
      <c r="F27" s="84" t="n">
        <f aca="false">CHOOSE(Control!$C$8,'S&amp;M Build'!F13,'S&amp;M Build'!F20,'S&amp;M Build'!F27)</f>
        <v>6</v>
      </c>
      <c r="G27" s="84" t="n">
        <f aca="false">CHOOSE(Control!$C$8,'S&amp;M Build'!G13,'S&amp;M Build'!G20,'S&amp;M Build'!G27)</f>
        <v>10</v>
      </c>
      <c r="H27" s="84" t="n">
        <f aca="false">CHOOSE(Control!$C$8,'S&amp;M Build'!H13,'S&amp;M Build'!H20,'S&amp;M Build'!H27)</f>
        <v>13</v>
      </c>
      <c r="I27" s="84" t="n">
        <f aca="false">CHOOSE(Control!$C$8,'S&amp;M Build'!I13,'S&amp;M Build'!I20,'S&amp;M Build'!I27)</f>
        <v>16</v>
      </c>
    </row>
    <row r="28" customFormat="false" ht="15" hidden="false" customHeight="true" outlineLevel="0" collapsed="false">
      <c r="B28" s="13" t="s">
        <v>332</v>
      </c>
      <c r="C28" s="84" t="n">
        <f aca="false">CHOOSE(Control!$C$8,'S&amp;M Build'!C14,'S&amp;M Build'!C21,'S&amp;M Build'!C28)</f>
        <v>0</v>
      </c>
      <c r="D28" s="84" t="n">
        <f aca="false">CHOOSE(Control!$C$8,'S&amp;M Build'!D14,'S&amp;M Build'!D21,'S&amp;M Build'!D28)</f>
        <v>0</v>
      </c>
      <c r="E28" s="84" t="n">
        <f aca="false">CHOOSE(Control!$C$8,'S&amp;M Build'!E14,'S&amp;M Build'!E21,'S&amp;M Build'!E28)</f>
        <v>0</v>
      </c>
      <c r="F28" s="84" t="n">
        <f aca="false">CHOOSE(Control!$C$8,'S&amp;M Build'!F14,'S&amp;M Build'!F21,'S&amp;M Build'!F28)</f>
        <v>1</v>
      </c>
      <c r="G28" s="84" t="n">
        <f aca="false">CHOOSE(Control!$C$8,'S&amp;M Build'!G14,'S&amp;M Build'!G21,'S&amp;M Build'!G28)</f>
        <v>1</v>
      </c>
      <c r="H28" s="84" t="n">
        <f aca="false">CHOOSE(Control!$C$8,'S&amp;M Build'!H14,'S&amp;M Build'!H21,'S&amp;M Build'!H28)</f>
        <v>1</v>
      </c>
      <c r="I28" s="84" t="n">
        <f aca="false">CHOOSE(Control!$C$8,'S&amp;M Build'!I14,'S&amp;M Build'!I21,'S&amp;M Build'!I28)</f>
        <v>1</v>
      </c>
    </row>
    <row r="29" customFormat="false" ht="15" hidden="false" customHeight="true" outlineLevel="0" collapsed="false">
      <c r="B29" s="5" t="s">
        <v>333</v>
      </c>
      <c r="C29" s="85" t="n">
        <f aca="false">C25+C26*$C$18+C27*$C$19+C28*$C$20</f>
        <v>10</v>
      </c>
      <c r="D29" s="85" t="n">
        <f aca="false">D25+D26*$C$18+D27*$C$19+D28*$C$20</f>
        <v>23</v>
      </c>
      <c r="E29" s="85" t="n">
        <f aca="false">E25+E26*$C$18+E27*$C$19+E28*$C$20</f>
        <v>36</v>
      </c>
      <c r="F29" s="85" t="n">
        <f aca="false">F25+F26*$C$18+F27*$C$19+F28*$C$20</f>
        <v>142</v>
      </c>
      <c r="G29" s="85" t="n">
        <f aca="false">G25+G26*$C$18+G27*$C$19+G28*$C$20</f>
        <v>221</v>
      </c>
      <c r="H29" s="85" t="n">
        <f aca="false">H25+H26*$C$18+H27*$C$19+H28*$C$20</f>
        <v>280</v>
      </c>
      <c r="I29" s="85" t="n">
        <f aca="false">I25+I26*$C$18+I27*$C$19+I28*$C$20</f>
        <v>325</v>
      </c>
    </row>
    <row r="31" customFormat="false" ht="15" hidden="false" customHeight="true" outlineLevel="0" collapsed="false">
      <c r="B31" s="4" t="s">
        <v>334</v>
      </c>
      <c r="C31" s="4"/>
      <c r="D31" s="4"/>
      <c r="E31" s="4"/>
      <c r="F31" s="4"/>
      <c r="G31" s="4"/>
      <c r="H31" s="4"/>
      <c r="I31" s="4"/>
    </row>
    <row r="32" customFormat="false" ht="15" hidden="false" customHeight="true" outlineLevel="0" collapsed="false">
      <c r="B32" s="32" t="s">
        <v>335</v>
      </c>
      <c r="C32" s="49" t="n">
        <f aca="false">$C$21</f>
        <v>1</v>
      </c>
      <c r="D32" s="49" t="n">
        <f aca="false">$C$21</f>
        <v>1</v>
      </c>
      <c r="E32" s="49" t="n">
        <f aca="false">$C$21</f>
        <v>1</v>
      </c>
      <c r="F32" s="49" t="n">
        <f aca="false">$C$22</f>
        <v>0.9</v>
      </c>
      <c r="G32" s="49" t="n">
        <f aca="false">$C$22</f>
        <v>0.9</v>
      </c>
      <c r="H32" s="49" t="n">
        <f aca="false">$C$22</f>
        <v>0.9</v>
      </c>
      <c r="I32" s="49" t="n">
        <f aca="false">$C$22</f>
        <v>0.9</v>
      </c>
    </row>
    <row r="33" customFormat="false" ht="15" hidden="false" customHeight="true" outlineLevel="0" collapsed="false">
      <c r="B33" s="13" t="s">
        <v>336</v>
      </c>
      <c r="C33" s="86" t="n">
        <v>0</v>
      </c>
      <c r="D33" s="86" t="n">
        <f aca="false">C37</f>
        <v>10</v>
      </c>
      <c r="E33" s="86" t="n">
        <f aca="false">D37</f>
        <v>33</v>
      </c>
      <c r="F33" s="86" t="n">
        <f aca="false">E37</f>
        <v>69</v>
      </c>
      <c r="G33" s="86" t="n">
        <f aca="false">F37</f>
        <v>204.1</v>
      </c>
      <c r="H33" s="86" t="n">
        <f aca="false">G37</f>
        <v>404.69</v>
      </c>
      <c r="I33" s="86" t="n">
        <f aca="false">H37</f>
        <v>644.221</v>
      </c>
    </row>
    <row r="34" customFormat="false" ht="15" hidden="false" customHeight="true" outlineLevel="0" collapsed="false">
      <c r="B34" s="13" t="s">
        <v>337</v>
      </c>
      <c r="C34" s="86" t="n">
        <f aca="false">C33*C32</f>
        <v>0</v>
      </c>
      <c r="D34" s="86" t="n">
        <f aca="false">D33*D32</f>
        <v>10</v>
      </c>
      <c r="E34" s="86" t="n">
        <f aca="false">E33*E32</f>
        <v>33</v>
      </c>
      <c r="F34" s="86" t="n">
        <f aca="false">F33*F32</f>
        <v>62.1</v>
      </c>
      <c r="G34" s="86" t="n">
        <f aca="false">G33*G32</f>
        <v>183.69</v>
      </c>
      <c r="H34" s="86" t="n">
        <f aca="false">H33*H32</f>
        <v>364.221</v>
      </c>
      <c r="I34" s="86" t="n">
        <f aca="false">I33*I32</f>
        <v>579.7989</v>
      </c>
    </row>
    <row r="35" customFormat="false" ht="15" hidden="false" customHeight="true" outlineLevel="0" collapsed="false">
      <c r="B35" s="13" t="s">
        <v>338</v>
      </c>
      <c r="C35" s="86" t="n">
        <f aca="false">C29</f>
        <v>10</v>
      </c>
      <c r="D35" s="86" t="n">
        <f aca="false">D29</f>
        <v>23</v>
      </c>
      <c r="E35" s="86" t="n">
        <f aca="false">E29</f>
        <v>36</v>
      </c>
      <c r="F35" s="86" t="n">
        <f aca="false">F29</f>
        <v>142</v>
      </c>
      <c r="G35" s="86" t="n">
        <f aca="false">G29</f>
        <v>221</v>
      </c>
      <c r="H35" s="86" t="n">
        <f aca="false">H29</f>
        <v>280</v>
      </c>
      <c r="I35" s="86" t="n">
        <f aca="false">I29</f>
        <v>325</v>
      </c>
    </row>
    <row r="36" customFormat="false" ht="15" hidden="false" customHeight="true" outlineLevel="0" collapsed="false">
      <c r="B36" s="32" t="s">
        <v>339</v>
      </c>
      <c r="C36" s="67" t="str">
        <f aca="false">TEXT(C35*$C$14,"0.0")&amp;" / "&amp;TEXT(C35*$C$15,"0.0")</f>
        <v>5.5 / 4.5</v>
      </c>
      <c r="D36" s="67" t="str">
        <f aca="false">TEXT(D35*$C$14,"0.0")&amp;" / "&amp;TEXT(D35*$C$15,"0.0")</f>
        <v>12.7 / 10.4</v>
      </c>
      <c r="E36" s="67" t="str">
        <f aca="false">TEXT(E35*$C$14,"0.0")&amp;" / "&amp;TEXT(E35*$C$15,"0.0")</f>
        <v>19.8 / 16.2</v>
      </c>
      <c r="F36" s="67" t="str">
        <f aca="false">TEXT(F35*$C$14,"0.0")&amp;" / "&amp;TEXT(F35*$C$15,"0.0")</f>
        <v>78.1 / 63.9</v>
      </c>
      <c r="G36" s="67" t="str">
        <f aca="false">TEXT(G35*$C$14,"0.0")&amp;" / "&amp;TEXT(G35*$C$15,"0.0")</f>
        <v>121.6 / 99.5</v>
      </c>
      <c r="H36" s="67" t="str">
        <f aca="false">TEXT(H35*$C$14,"0.0")&amp;" / "&amp;TEXT(H35*$C$15,"0.0")</f>
        <v>154.0 / 126.0</v>
      </c>
      <c r="I36" s="67" t="str">
        <f aca="false">TEXT(I35*$C$14,"0.0")&amp;" / "&amp;TEXT(I35*$C$15,"0.0")</f>
        <v>178.8 / 146.3</v>
      </c>
    </row>
    <row r="37" customFormat="false" ht="15" hidden="false" customHeight="true" outlineLevel="0" collapsed="false">
      <c r="B37" s="5" t="s">
        <v>340</v>
      </c>
      <c r="C37" s="85" t="n">
        <f aca="false">C34+C35</f>
        <v>10</v>
      </c>
      <c r="D37" s="85" t="n">
        <f aca="false">D34+D35</f>
        <v>33</v>
      </c>
      <c r="E37" s="85" t="n">
        <f aca="false">E34+E35</f>
        <v>69</v>
      </c>
      <c r="F37" s="85" t="n">
        <f aca="false">F34+F35</f>
        <v>204.1</v>
      </c>
      <c r="G37" s="85" t="n">
        <f aca="false">G34+G35</f>
        <v>404.69</v>
      </c>
      <c r="H37" s="85" t="n">
        <f aca="false">H34+H35</f>
        <v>644.221</v>
      </c>
      <c r="I37" s="85" t="n">
        <f aca="false">I34+I35</f>
        <v>904.7989</v>
      </c>
    </row>
    <row r="39" customFormat="false" ht="15" hidden="false" customHeight="true" outlineLevel="0" collapsed="false">
      <c r="B39" s="13" t="s">
        <v>341</v>
      </c>
      <c r="C39" s="22" t="n">
        <f aca="false">C34*$C$10</f>
        <v>0</v>
      </c>
      <c r="D39" s="22" t="n">
        <f aca="false">D34*$C$10</f>
        <v>540000</v>
      </c>
      <c r="E39" s="22" t="n">
        <f aca="false">E34*$C$10</f>
        <v>1782000</v>
      </c>
      <c r="F39" s="22" t="n">
        <f aca="false">F34*$C$10</f>
        <v>3353400</v>
      </c>
      <c r="G39" s="22" t="n">
        <f aca="false">G34*$C$10</f>
        <v>9919260</v>
      </c>
      <c r="H39" s="22" t="n">
        <f aca="false">H34*$C$10</f>
        <v>19667934</v>
      </c>
      <c r="I39" s="22" t="n">
        <f aca="false">I34*$C$10</f>
        <v>31309140.6</v>
      </c>
    </row>
    <row r="40" customFormat="false" ht="15" hidden="false" customHeight="true" outlineLevel="0" collapsed="false">
      <c r="B40" s="13" t="s">
        <v>342</v>
      </c>
      <c r="C40" s="22" t="n">
        <f aca="false">C35*$C$8*$C$16</f>
        <v>348750</v>
      </c>
      <c r="D40" s="22" t="n">
        <f aca="false">D35*$C$8*$C$16</f>
        <v>802125</v>
      </c>
      <c r="E40" s="22" t="n">
        <f aca="false">E35*$C$8*$C$16</f>
        <v>1255500</v>
      </c>
      <c r="F40" s="22" t="n">
        <f aca="false">F35*$C$8*$C$16</f>
        <v>4952250</v>
      </c>
      <c r="G40" s="22" t="n">
        <f aca="false">G35*$C$8*$C$16</f>
        <v>7707375</v>
      </c>
      <c r="H40" s="22" t="n">
        <f aca="false">H35*$C$8*$C$16</f>
        <v>9765000</v>
      </c>
      <c r="I40" s="22" t="n">
        <f aca="false">I35*$C$8*$C$16</f>
        <v>11334375</v>
      </c>
    </row>
    <row r="41" customFormat="false" ht="15" hidden="false" customHeight="true" outlineLevel="0" collapsed="false">
      <c r="B41" s="73" t="s">
        <v>343</v>
      </c>
      <c r="C41" s="75" t="n">
        <f aca="false">C39+C40</f>
        <v>348750</v>
      </c>
      <c r="D41" s="75" t="n">
        <f aca="false">D39+D40</f>
        <v>1342125</v>
      </c>
      <c r="E41" s="75" t="n">
        <f aca="false">E39+E40</f>
        <v>3037500</v>
      </c>
      <c r="F41" s="75" t="n">
        <f aca="false">F39+F40</f>
        <v>8305650</v>
      </c>
      <c r="G41" s="75" t="n">
        <f aca="false">G39+G40</f>
        <v>17626635</v>
      </c>
      <c r="H41" s="75" t="n">
        <f aca="false">H39+H40</f>
        <v>29432934</v>
      </c>
      <c r="I41" s="75" t="n">
        <f aca="false">I39+I40</f>
        <v>42643515.6</v>
      </c>
    </row>
    <row r="43" customFormat="false" ht="15" hidden="false" customHeight="true" outlineLevel="0" collapsed="false">
      <c r="B43" s="4" t="s">
        <v>344</v>
      </c>
      <c r="C43" s="4"/>
      <c r="D43" s="4"/>
      <c r="E43" s="4"/>
      <c r="F43" s="4"/>
      <c r="G43" s="4"/>
      <c r="H43" s="4"/>
      <c r="I43" s="4"/>
    </row>
    <row r="44" customFormat="false" ht="15" hidden="false" customHeight="true" outlineLevel="0" collapsed="false">
      <c r="B44" s="5" t="s">
        <v>345</v>
      </c>
      <c r="C44" s="26" t="n">
        <f aca="false">C41</f>
        <v>348750</v>
      </c>
      <c r="D44" s="26" t="n">
        <f aca="false">D41</f>
        <v>1342125</v>
      </c>
      <c r="E44" s="26" t="n">
        <f aca="false">E41</f>
        <v>3037500</v>
      </c>
      <c r="F44" s="26" t="n">
        <f aca="false">F41</f>
        <v>8305650</v>
      </c>
      <c r="G44" s="26" t="n">
        <f aca="false">G41</f>
        <v>17626635</v>
      </c>
      <c r="H44" s="26" t="n">
        <f aca="false">H41</f>
        <v>29432934</v>
      </c>
      <c r="I44" s="26" t="n">
        <f aca="false">I41</f>
        <v>42643515.6</v>
      </c>
    </row>
    <row r="45" customFormat="false" ht="15" hidden="false" customHeight="true" outlineLevel="0" collapsed="false">
      <c r="B45" s="13" t="s">
        <v>346</v>
      </c>
      <c r="C45" s="14" t="n">
        <f aca="false">INDEX(Scenarios!$C$6:$I$8,Control!$C$8,1)</f>
        <v>348750</v>
      </c>
      <c r="D45" s="14" t="n">
        <f aca="false">INDEX(Scenarios!$C$6:$I$8,Control!$C$8,2)</f>
        <v>1342125</v>
      </c>
      <c r="E45" s="14" t="n">
        <f aca="false">INDEX(Scenarios!$C$6:$I$8,Control!$C$8,3)</f>
        <v>3177500</v>
      </c>
      <c r="F45" s="14" t="n">
        <f aca="false">INDEX(Scenarios!$C$6:$I$8,Control!$C$8,4)</f>
        <v>10188875</v>
      </c>
      <c r="G45" s="14" t="n">
        <f aca="false">INDEX(Scenarios!$C$6:$I$8,Control!$C$8,5)</f>
        <v>23192222.5</v>
      </c>
      <c r="H45" s="14" t="n">
        <f aca="false">INDEX(Scenarios!$C$6:$I$8,Control!$C$8,6)</f>
        <v>40601094.25</v>
      </c>
      <c r="I45" s="14" t="n">
        <f aca="false">INDEX(Scenarios!$C$6:$I$8,Control!$C$8,7)</f>
        <v>60581809</v>
      </c>
    </row>
    <row r="46" customFormat="false" ht="15" hidden="false" customHeight="true" outlineLevel="0" collapsed="false">
      <c r="B46" s="5" t="s">
        <v>347</v>
      </c>
      <c r="C46" s="87" t="n">
        <f aca="false">C44-C45</f>
        <v>0</v>
      </c>
      <c r="D46" s="87" t="n">
        <f aca="false">D44-D45</f>
        <v>0</v>
      </c>
      <c r="E46" s="87" t="n">
        <f aca="false">E44-E45</f>
        <v>-140000</v>
      </c>
      <c r="F46" s="87" t="n">
        <f aca="false">F44-F45</f>
        <v>-1883225</v>
      </c>
      <c r="G46" s="87" t="n">
        <f aca="false">G44-G45</f>
        <v>-5565587.5</v>
      </c>
      <c r="H46" s="87" t="n">
        <f aca="false">H44-H45</f>
        <v>-11168160.25</v>
      </c>
      <c r="I46" s="87" t="n">
        <f aca="false">I44-I45</f>
        <v>-17938293.4</v>
      </c>
    </row>
    <row r="47" customFormat="false" ht="15" hidden="false" customHeight="true" outlineLevel="0" collapsed="false">
      <c r="B47" s="32" t="s">
        <v>348</v>
      </c>
      <c r="C47" s="49" t="n">
        <f aca="false">C46/C45</f>
        <v>0</v>
      </c>
      <c r="D47" s="49" t="n">
        <f aca="false">D46/D45</f>
        <v>0</v>
      </c>
      <c r="E47" s="49" t="n">
        <f aca="false">E46/E45</f>
        <v>-0.044059795436664</v>
      </c>
      <c r="F47" s="49" t="n">
        <f aca="false">F46/F45</f>
        <v>-0.184831495135626</v>
      </c>
      <c r="G47" s="49" t="n">
        <f aca="false">G46/G45</f>
        <v>-0.239976461936755</v>
      </c>
      <c r="H47" s="49" t="n">
        <f aca="false">H46/H45</f>
        <v>-0.275070424979987</v>
      </c>
      <c r="I47" s="49" t="n">
        <f aca="false">I46/I45</f>
        <v>-0.296100326089635</v>
      </c>
    </row>
    <row r="49" customFormat="false" ht="15" hidden="false" customHeight="true" outlineLevel="0" collapsed="false">
      <c r="B49" s="4" t="s">
        <v>349</v>
      </c>
      <c r="C49" s="4"/>
      <c r="D49" s="4"/>
      <c r="E49" s="4"/>
      <c r="F49" s="4"/>
      <c r="G49" s="4"/>
      <c r="H49" s="4"/>
      <c r="I49" s="4"/>
    </row>
    <row r="50" customFormat="false" ht="15" hidden="false" customHeight="true" outlineLevel="0" collapsed="false">
      <c r="B50" s="13" t="s">
        <v>350</v>
      </c>
      <c r="C50" s="22" t="n">
        <f aca="false">C45</f>
        <v>348750</v>
      </c>
      <c r="D50" s="22" t="n">
        <f aca="false">D45</f>
        <v>1342125</v>
      </c>
      <c r="E50" s="22" t="n">
        <f aca="false">E45</f>
        <v>3177500</v>
      </c>
      <c r="F50" s="22" t="n">
        <f aca="false">F45</f>
        <v>10188875</v>
      </c>
      <c r="G50" s="22" t="n">
        <f aca="false">G45</f>
        <v>23192222.5</v>
      </c>
      <c r="H50" s="22" t="n">
        <f aca="false">H45</f>
        <v>40601094.25</v>
      </c>
      <c r="I50" s="22" t="n">
        <f aca="false">I45</f>
        <v>60581809</v>
      </c>
    </row>
    <row r="51" customFormat="false" ht="15" hidden="false" customHeight="true" outlineLevel="0" collapsed="false">
      <c r="B51" s="13" t="s">
        <v>351</v>
      </c>
      <c r="C51" s="86" t="n">
        <v>0</v>
      </c>
      <c r="D51" s="86" t="n">
        <f aca="false">C54</f>
        <v>10</v>
      </c>
      <c r="E51" s="86" t="n">
        <f aca="false">D54</f>
        <v>33</v>
      </c>
      <c r="F51" s="86" t="n">
        <f aca="false">E54</f>
        <v>73.0143369175627</v>
      </c>
      <c r="G51" s="86" t="n">
        <f aca="false">F54</f>
        <v>256.118013643196</v>
      </c>
      <c r="H51" s="86" t="n">
        <f aca="false">G54</f>
        <v>538.603331617677</v>
      </c>
      <c r="I51" s="86" t="n">
        <f aca="false">H54</f>
        <v>898.362276832422</v>
      </c>
    </row>
    <row r="52" customFormat="false" ht="15" hidden="false" customHeight="true" outlineLevel="0" collapsed="false">
      <c r="B52" s="13" t="s">
        <v>352</v>
      </c>
      <c r="C52" s="22" t="n">
        <f aca="false">C51*C32*$C$10</f>
        <v>0</v>
      </c>
      <c r="D52" s="22" t="n">
        <f aca="false">D51*D32*$C$10</f>
        <v>540000</v>
      </c>
      <c r="E52" s="22" t="n">
        <f aca="false">E51*E32*$C$10</f>
        <v>1782000</v>
      </c>
      <c r="F52" s="22" t="n">
        <f aca="false">F51*F32*$C$10</f>
        <v>3548496.77419355</v>
      </c>
      <c r="G52" s="22" t="n">
        <f aca="false">G51*G32*$C$10</f>
        <v>12447335.4630593</v>
      </c>
      <c r="H52" s="22" t="n">
        <f aca="false">H51*H32*$C$10</f>
        <v>26176121.9166191</v>
      </c>
      <c r="I52" s="22" t="n">
        <f aca="false">I51*I32*$C$10</f>
        <v>43660406.6540557</v>
      </c>
    </row>
    <row r="53" customFormat="false" ht="15" hidden="false" customHeight="true" outlineLevel="0" collapsed="false">
      <c r="B53" s="13" t="s">
        <v>353</v>
      </c>
      <c r="C53" s="86" t="n">
        <f aca="false">(C50-C52)/($C$8*$C$16)</f>
        <v>10</v>
      </c>
      <c r="D53" s="86" t="n">
        <f aca="false">(D50-D52)/($C$8*$C$16)</f>
        <v>23</v>
      </c>
      <c r="E53" s="86" t="n">
        <f aca="false">(E50-E52)/($C$8*$C$16)</f>
        <v>40.0143369175627</v>
      </c>
      <c r="F53" s="86" t="n">
        <f aca="false">(F50-F52)/($C$8*$C$16)</f>
        <v>190.405110417389</v>
      </c>
      <c r="G53" s="86" t="n">
        <f aca="false">(G50-G52)/($C$8*$C$16)</f>
        <v>308.097119338801</v>
      </c>
      <c r="H53" s="86" t="n">
        <f aca="false">(H50-H52)/($C$8*$C$16)</f>
        <v>413.619278376513</v>
      </c>
      <c r="I53" s="86" t="n">
        <f aca="false">(I50-I52)/($C$8*$C$16)</f>
        <v>485.201500958976</v>
      </c>
    </row>
    <row r="54" customFormat="false" ht="15" hidden="false" customHeight="true" outlineLevel="0" collapsed="false">
      <c r="B54" s="5" t="s">
        <v>354</v>
      </c>
      <c r="C54" s="88" t="n">
        <f aca="false">C51*C32+C53</f>
        <v>10</v>
      </c>
      <c r="D54" s="88" t="n">
        <f aca="false">D51*D32+D53</f>
        <v>33</v>
      </c>
      <c r="E54" s="88" t="n">
        <f aca="false">E51*E32+E53</f>
        <v>73.0143369175627</v>
      </c>
      <c r="F54" s="88" t="n">
        <f aca="false">F51*F32+F53</f>
        <v>256.118013643196</v>
      </c>
      <c r="G54" s="88" t="n">
        <f aca="false">G51*G32+G53</f>
        <v>538.603331617677</v>
      </c>
      <c r="H54" s="88" t="n">
        <f aca="false">H51*H32+H53</f>
        <v>898.362276832422</v>
      </c>
      <c r="I54" s="88" t="n">
        <f aca="false">I51*I32+I53</f>
        <v>1293.72755010816</v>
      </c>
    </row>
    <row r="55" customFormat="false" ht="15" hidden="false" customHeight="true" outlineLevel="0" collapsed="false">
      <c r="B55" s="32" t="s">
        <v>355</v>
      </c>
      <c r="C55" s="89" t="n">
        <f aca="false">C53-C29</f>
        <v>0</v>
      </c>
      <c r="D55" s="89" t="n">
        <f aca="false">D53-D29</f>
        <v>0</v>
      </c>
      <c r="E55" s="89" t="n">
        <f aca="false">E53-E29</f>
        <v>4.01433691756272</v>
      </c>
      <c r="F55" s="89" t="n">
        <f aca="false">F53-F29</f>
        <v>48.4051104173893</v>
      </c>
      <c r="G55" s="89" t="n">
        <f aca="false">G53-G29</f>
        <v>87.0971193388011</v>
      </c>
      <c r="H55" s="89" t="n">
        <f aca="false">H53-H29</f>
        <v>133.619278376513</v>
      </c>
      <c r="I55" s="89" t="n">
        <f aca="false">I53-I29</f>
        <v>160.201500958976</v>
      </c>
    </row>
    <row r="56" customFormat="false" ht="15" hidden="false" customHeight="true" outlineLevel="0" collapsed="false">
      <c r="B56" s="5" t="s">
        <v>356</v>
      </c>
      <c r="C56" s="90" t="n">
        <f aca="false">MAX(0,C55)/$C$18</f>
        <v>0</v>
      </c>
      <c r="D56" s="90" t="n">
        <f aca="false">MAX(0,D55)/$C$18</f>
        <v>0</v>
      </c>
      <c r="E56" s="90" t="n">
        <f aca="false">MAX(0,E55)/$C$18</f>
        <v>0.267622461170848</v>
      </c>
      <c r="F56" s="90" t="n">
        <f aca="false">MAX(0,F55)/$C$18</f>
        <v>3.22700736115929</v>
      </c>
      <c r="G56" s="90" t="n">
        <f aca="false">MAX(0,G55)/$C$18</f>
        <v>5.80647462258674</v>
      </c>
      <c r="H56" s="90" t="n">
        <f aca="false">MAX(0,H55)/$C$18</f>
        <v>8.90795189176752</v>
      </c>
      <c r="I56" s="90" t="n">
        <f aca="false">MAX(0,I55)/$C$18</f>
        <v>10.6801000639317</v>
      </c>
    </row>
    <row r="57" customFormat="false" ht="15" hidden="false" customHeight="true" outlineLevel="0" collapsed="false">
      <c r="B57" s="32" t="s">
        <v>357</v>
      </c>
      <c r="C57" s="80" t="n">
        <f aca="false">C56*150000</f>
        <v>0</v>
      </c>
      <c r="D57" s="80" t="n">
        <f aca="false">D56*150000</f>
        <v>0</v>
      </c>
      <c r="E57" s="80" t="n">
        <f aca="false">E56*150000</f>
        <v>40143.3691756272</v>
      </c>
      <c r="F57" s="80" t="n">
        <f aca="false">F56*150000</f>
        <v>484051.104173893</v>
      </c>
      <c r="G57" s="80" t="n">
        <f aca="false">G56*150000</f>
        <v>870971.193388011</v>
      </c>
      <c r="H57" s="80" t="n">
        <f aca="false">H56*150000</f>
        <v>1336192.78376513</v>
      </c>
      <c r="I57" s="80" t="n">
        <f aca="false">I56*150000</f>
        <v>1602015.00958975</v>
      </c>
    </row>
    <row r="59" customFormat="false" ht="15" hidden="false" customHeight="true" outlineLevel="0" collapsed="false">
      <c r="B59" s="4" t="s">
        <v>358</v>
      </c>
      <c r="C59" s="4"/>
      <c r="D59" s="4"/>
      <c r="E59" s="4"/>
      <c r="F59" s="4"/>
      <c r="G59" s="4"/>
      <c r="H59" s="4"/>
      <c r="I59" s="4"/>
    </row>
    <row r="60" customFormat="false" ht="25.5" hidden="false" customHeight="true" outlineLevel="0" collapsed="false">
      <c r="B60" s="17" t="s">
        <v>359</v>
      </c>
      <c r="C60" s="17"/>
      <c r="D60" s="17"/>
      <c r="E60" s="17"/>
      <c r="F60" s="17"/>
      <c r="G60" s="17"/>
      <c r="H60" s="17"/>
      <c r="I60" s="17"/>
    </row>
    <row r="62" customFormat="false" ht="15" hidden="false" customHeight="true" outlineLevel="0" collapsed="false">
      <c r="B62" s="5" t="s">
        <v>360</v>
      </c>
    </row>
    <row r="63" customFormat="false" ht="15" hidden="false" customHeight="true" outlineLevel="0" collapsed="false">
      <c r="B63" s="13" t="s">
        <v>361</v>
      </c>
      <c r="C63" s="83" t="n">
        <v>0</v>
      </c>
      <c r="D63" s="83" t="n">
        <v>0</v>
      </c>
      <c r="E63" s="83" t="n">
        <v>0</v>
      </c>
      <c r="F63" s="83" t="n">
        <v>0</v>
      </c>
      <c r="G63" s="83" t="n">
        <v>0</v>
      </c>
      <c r="H63" s="83" t="n">
        <v>0</v>
      </c>
      <c r="I63" s="83" t="n">
        <v>0</v>
      </c>
    </row>
    <row r="64" customFormat="false" ht="15" hidden="false" customHeight="true" outlineLevel="0" collapsed="false">
      <c r="B64" s="13" t="s">
        <v>362</v>
      </c>
      <c r="C64" s="83" t="n">
        <v>0</v>
      </c>
      <c r="D64" s="83" t="n">
        <v>0</v>
      </c>
      <c r="E64" s="83" t="n">
        <v>0</v>
      </c>
      <c r="F64" s="83" t="n">
        <v>3</v>
      </c>
      <c r="G64" s="83" t="n">
        <v>6</v>
      </c>
      <c r="H64" s="83" t="n">
        <v>8</v>
      </c>
      <c r="I64" s="83" t="n">
        <v>10</v>
      </c>
    </row>
    <row r="65" customFormat="false" ht="15" hidden="false" customHeight="true" outlineLevel="0" collapsed="false">
      <c r="B65" s="13" t="s">
        <v>363</v>
      </c>
      <c r="C65" s="83" t="n">
        <v>0</v>
      </c>
      <c r="D65" s="83" t="n">
        <v>0</v>
      </c>
      <c r="E65" s="83" t="n">
        <v>0</v>
      </c>
      <c r="F65" s="83" t="n">
        <v>3</v>
      </c>
      <c r="G65" s="83" t="n">
        <v>9</v>
      </c>
      <c r="H65" s="83" t="n">
        <v>13</v>
      </c>
      <c r="I65" s="83" t="n">
        <v>16</v>
      </c>
    </row>
    <row r="66" customFormat="false" ht="15" hidden="false" customHeight="true" outlineLevel="0" collapsed="false">
      <c r="B66" s="13" t="s">
        <v>364</v>
      </c>
      <c r="C66" s="84" t="n">
        <f aca="false">CHOOSE(Control!$C$8,C63,C64,C65)</f>
        <v>0</v>
      </c>
      <c r="D66" s="84" t="n">
        <f aca="false">CHOOSE(Control!$C$8,D63,D64,D65)</f>
        <v>0</v>
      </c>
      <c r="E66" s="84" t="n">
        <f aca="false">CHOOSE(Control!$C$8,E63,E64,E65)</f>
        <v>0</v>
      </c>
      <c r="F66" s="84" t="n">
        <f aca="false">CHOOSE(Control!$C$8,F63,F64,F65)</f>
        <v>3</v>
      </c>
      <c r="G66" s="84" t="n">
        <f aca="false">CHOOSE(Control!$C$8,G63,G64,G65)</f>
        <v>6</v>
      </c>
      <c r="H66" s="84" t="n">
        <f aca="false">CHOOSE(Control!$C$8,H63,H64,H65)</f>
        <v>8</v>
      </c>
      <c r="I66" s="84" t="n">
        <f aca="false">CHOOSE(Control!$C$8,I63,I64,I65)</f>
        <v>10</v>
      </c>
    </row>
    <row r="67" customFormat="false" ht="15" hidden="false" customHeight="true" outlineLevel="0" collapsed="false">
      <c r="B67" s="13" t="s">
        <v>365</v>
      </c>
      <c r="C67" s="52" t="n">
        <v>220000</v>
      </c>
    </row>
    <row r="68" customFormat="false" ht="15" hidden="false" customHeight="true" outlineLevel="0" collapsed="false">
      <c r="B68" s="13" t="s">
        <v>366</v>
      </c>
      <c r="C68" s="86" t="n">
        <f aca="false">C66</f>
        <v>0</v>
      </c>
      <c r="D68" s="86" t="n">
        <f aca="false">C68+D66</f>
        <v>0</v>
      </c>
      <c r="E68" s="86" t="n">
        <f aca="false">D68+E66</f>
        <v>0</v>
      </c>
      <c r="F68" s="86" t="n">
        <f aca="false">E68+F66</f>
        <v>3</v>
      </c>
      <c r="G68" s="86" t="n">
        <f aca="false">F68+G66</f>
        <v>9</v>
      </c>
      <c r="H68" s="86" t="n">
        <f aca="false">G68+H66</f>
        <v>17</v>
      </c>
      <c r="I68" s="86" t="n">
        <f aca="false">H68+I66</f>
        <v>27</v>
      </c>
    </row>
    <row r="69" customFormat="false" ht="15" hidden="false" customHeight="true" outlineLevel="0" collapsed="false">
      <c r="B69" s="5" t="s">
        <v>367</v>
      </c>
      <c r="C69" s="28" t="n">
        <f aca="false">C68*$C$67</f>
        <v>0</v>
      </c>
      <c r="D69" s="28" t="n">
        <f aca="false">D68*$C$67</f>
        <v>0</v>
      </c>
      <c r="E69" s="28" t="n">
        <f aca="false">E68*$C$67</f>
        <v>0</v>
      </c>
      <c r="F69" s="28" t="n">
        <f aca="false">F68*$C$67</f>
        <v>660000</v>
      </c>
      <c r="G69" s="28" t="n">
        <f aca="false">G68*$C$67</f>
        <v>1980000</v>
      </c>
      <c r="H69" s="28" t="n">
        <f aca="false">H68*$C$67</f>
        <v>3740000</v>
      </c>
      <c r="I69" s="28" t="n">
        <f aca="false">I68*$C$67</f>
        <v>5940000</v>
      </c>
    </row>
    <row r="71" customFormat="false" ht="15" hidden="false" customHeight="true" outlineLevel="0" collapsed="false">
      <c r="B71" s="5" t="s">
        <v>368</v>
      </c>
    </row>
    <row r="72" customFormat="false" ht="15" hidden="false" customHeight="true" outlineLevel="0" collapsed="false">
      <c r="B72" s="13" t="s">
        <v>361</v>
      </c>
      <c r="C72" s="83" t="n">
        <v>0</v>
      </c>
      <c r="D72" s="83" t="n">
        <v>0</v>
      </c>
      <c r="E72" s="83" t="n">
        <v>1</v>
      </c>
      <c r="F72" s="83" t="n">
        <v>0</v>
      </c>
      <c r="G72" s="83" t="n">
        <v>0</v>
      </c>
      <c r="H72" s="83" t="n">
        <v>0</v>
      </c>
      <c r="I72" s="83" t="n">
        <v>0</v>
      </c>
    </row>
    <row r="73" customFormat="false" ht="15" hidden="false" customHeight="true" outlineLevel="0" collapsed="false">
      <c r="B73" s="13" t="s">
        <v>362</v>
      </c>
      <c r="C73" s="83" t="n">
        <v>0</v>
      </c>
      <c r="D73" s="83" t="n">
        <v>0</v>
      </c>
      <c r="E73" s="83" t="n">
        <v>1</v>
      </c>
      <c r="F73" s="83" t="n">
        <v>4</v>
      </c>
      <c r="G73" s="83" t="n">
        <v>8</v>
      </c>
      <c r="H73" s="83" t="n">
        <v>12</v>
      </c>
      <c r="I73" s="83" t="n">
        <v>15</v>
      </c>
    </row>
    <row r="74" customFormat="false" ht="15" hidden="false" customHeight="true" outlineLevel="0" collapsed="false">
      <c r="B74" s="13" t="s">
        <v>363</v>
      </c>
      <c r="C74" s="83" t="n">
        <v>0</v>
      </c>
      <c r="D74" s="83" t="n">
        <v>0</v>
      </c>
      <c r="E74" s="83" t="n">
        <v>1</v>
      </c>
      <c r="F74" s="83" t="n">
        <v>4</v>
      </c>
      <c r="G74" s="83" t="n">
        <v>12</v>
      </c>
      <c r="H74" s="83" t="n">
        <v>18</v>
      </c>
      <c r="I74" s="83" t="n">
        <v>24</v>
      </c>
    </row>
    <row r="75" customFormat="false" ht="15" hidden="false" customHeight="true" outlineLevel="0" collapsed="false">
      <c r="B75" s="13" t="s">
        <v>369</v>
      </c>
      <c r="C75" s="84" t="n">
        <f aca="false">CHOOSE(Control!$C$8,C72,C73,C74)</f>
        <v>0</v>
      </c>
      <c r="D75" s="84" t="n">
        <f aca="false">CHOOSE(Control!$C$8,D72,D73,D74)</f>
        <v>0</v>
      </c>
      <c r="E75" s="84" t="n">
        <f aca="false">CHOOSE(Control!$C$8,E72,E73,E74)</f>
        <v>1</v>
      </c>
      <c r="F75" s="84" t="n">
        <f aca="false">CHOOSE(Control!$C$8,F72,F73,F74)</f>
        <v>4</v>
      </c>
      <c r="G75" s="84" t="n">
        <f aca="false">CHOOSE(Control!$C$8,G72,G73,G74)</f>
        <v>8</v>
      </c>
      <c r="H75" s="84" t="n">
        <f aca="false">CHOOSE(Control!$C$8,H72,H73,H74)</f>
        <v>12</v>
      </c>
      <c r="I75" s="84" t="n">
        <f aca="false">CHOOSE(Control!$C$8,I72,I73,I74)</f>
        <v>15</v>
      </c>
    </row>
    <row r="76" customFormat="false" ht="15" hidden="false" customHeight="true" outlineLevel="0" collapsed="false">
      <c r="B76" s="13" t="s">
        <v>370</v>
      </c>
      <c r="C76" s="52" t="n">
        <v>140000</v>
      </c>
    </row>
    <row r="77" customFormat="false" ht="15" hidden="false" customHeight="true" outlineLevel="0" collapsed="false">
      <c r="B77" s="13" t="s">
        <v>371</v>
      </c>
      <c r="C77" s="86" t="n">
        <f aca="false">C75</f>
        <v>0</v>
      </c>
      <c r="D77" s="86" t="n">
        <f aca="false">C77+D75</f>
        <v>0</v>
      </c>
      <c r="E77" s="86" t="n">
        <f aca="false">D77+E75</f>
        <v>1</v>
      </c>
      <c r="F77" s="86" t="n">
        <f aca="false">E77+F75</f>
        <v>5</v>
      </c>
      <c r="G77" s="86" t="n">
        <f aca="false">F77+G75</f>
        <v>13</v>
      </c>
      <c r="H77" s="86" t="n">
        <f aca="false">G77+H75</f>
        <v>25</v>
      </c>
      <c r="I77" s="86" t="n">
        <f aca="false">H77+I75</f>
        <v>40</v>
      </c>
    </row>
    <row r="78" customFormat="false" ht="15" hidden="false" customHeight="true" outlineLevel="0" collapsed="false">
      <c r="B78" s="5" t="s">
        <v>372</v>
      </c>
      <c r="C78" s="28" t="n">
        <f aca="false">C77*$C$76</f>
        <v>0</v>
      </c>
      <c r="D78" s="28" t="n">
        <f aca="false">D77*$C$76</f>
        <v>0</v>
      </c>
      <c r="E78" s="28" t="n">
        <f aca="false">E77*$C$76</f>
        <v>140000</v>
      </c>
      <c r="F78" s="28" t="n">
        <f aca="false">F77*$C$76</f>
        <v>700000</v>
      </c>
      <c r="G78" s="28" t="n">
        <f aca="false">G77*$C$76</f>
        <v>1820000</v>
      </c>
      <c r="H78" s="28" t="n">
        <f aca="false">H77*$C$76</f>
        <v>3500000</v>
      </c>
      <c r="I78" s="28" t="n">
        <f aca="false">I77*$C$76</f>
        <v>5600000</v>
      </c>
    </row>
    <row r="80" customFormat="false" ht="15" hidden="false" customHeight="true" outlineLevel="0" collapsed="false">
      <c r="B80" s="5" t="s">
        <v>373</v>
      </c>
      <c r="C80" s="56" t="n">
        <v>0</v>
      </c>
      <c r="D80" s="56" t="n">
        <v>0</v>
      </c>
      <c r="E80" s="56" t="n">
        <v>0</v>
      </c>
      <c r="F80" s="56" t="n">
        <v>0.15</v>
      </c>
      <c r="G80" s="56" t="n">
        <v>0.25</v>
      </c>
      <c r="H80" s="56" t="n">
        <v>0.35</v>
      </c>
      <c r="I80" s="56" t="n">
        <v>0.4</v>
      </c>
    </row>
    <row r="81" customFormat="false" ht="15" hidden="false" customHeight="true" outlineLevel="0" collapsed="false">
      <c r="B81" s="13" t="s">
        <v>374</v>
      </c>
      <c r="C81" s="52" t="n">
        <v>15000</v>
      </c>
    </row>
    <row r="82" customFormat="false" ht="15" hidden="false" customHeight="true" outlineLevel="0" collapsed="false">
      <c r="B82" s="5" t="s">
        <v>375</v>
      </c>
      <c r="C82" s="28" t="n">
        <f aca="false">C37*C80*$C$81</f>
        <v>0</v>
      </c>
      <c r="D82" s="28" t="n">
        <f aca="false">D37*D80*$C$81</f>
        <v>0</v>
      </c>
      <c r="E82" s="28" t="n">
        <f aca="false">E37*E80*$C$81</f>
        <v>0</v>
      </c>
      <c r="F82" s="28" t="n">
        <f aca="false">F37*F80*$C$81</f>
        <v>459225</v>
      </c>
      <c r="G82" s="28" t="n">
        <f aca="false">G37*G80*$C$81</f>
        <v>1517587.5</v>
      </c>
      <c r="H82" s="28" t="n">
        <f aca="false">H37*H80*$C$81</f>
        <v>3382160.25</v>
      </c>
      <c r="I82" s="28" t="n">
        <f aca="false">I37*I80*$C$81</f>
        <v>5428793.4</v>
      </c>
    </row>
    <row r="84" customFormat="false" ht="15" hidden="false" customHeight="true" outlineLevel="0" collapsed="false">
      <c r="B84" s="4" t="s">
        <v>376</v>
      </c>
      <c r="C84" s="4"/>
      <c r="D84" s="4"/>
      <c r="E84" s="4"/>
      <c r="F84" s="4"/>
      <c r="G84" s="4"/>
      <c r="H84" s="4"/>
      <c r="I84" s="4"/>
    </row>
    <row r="85" customFormat="false" ht="15" hidden="false" customHeight="true" outlineLevel="0" collapsed="false">
      <c r="B85" s="13" t="s">
        <v>377</v>
      </c>
      <c r="C85" s="22" t="n">
        <f aca="false">C41</f>
        <v>348750</v>
      </c>
      <c r="D85" s="22" t="n">
        <f aca="false">D41</f>
        <v>1342125</v>
      </c>
      <c r="E85" s="22" t="n">
        <f aca="false">E41</f>
        <v>3037500</v>
      </c>
      <c r="F85" s="22" t="n">
        <f aca="false">F41</f>
        <v>8305650</v>
      </c>
      <c r="G85" s="22" t="n">
        <f aca="false">G41</f>
        <v>17626635</v>
      </c>
      <c r="H85" s="22" t="n">
        <f aca="false">H41</f>
        <v>29432934</v>
      </c>
      <c r="I85" s="22" t="n">
        <f aca="false">I41</f>
        <v>42643515.6</v>
      </c>
    </row>
    <row r="86" customFormat="false" ht="15" hidden="false" customHeight="true" outlineLevel="0" collapsed="false">
      <c r="B86" s="13" t="s">
        <v>378</v>
      </c>
      <c r="C86" s="22" t="n">
        <f aca="false">C69</f>
        <v>0</v>
      </c>
      <c r="D86" s="22" t="n">
        <f aca="false">D69</f>
        <v>0</v>
      </c>
      <c r="E86" s="22" t="n">
        <f aca="false">E69</f>
        <v>0</v>
      </c>
      <c r="F86" s="22" t="n">
        <f aca="false">F69</f>
        <v>660000</v>
      </c>
      <c r="G86" s="22" t="n">
        <f aca="false">G69</f>
        <v>1980000</v>
      </c>
      <c r="H86" s="22" t="n">
        <f aca="false">H69</f>
        <v>3740000</v>
      </c>
      <c r="I86" s="22" t="n">
        <f aca="false">I69</f>
        <v>5940000</v>
      </c>
    </row>
    <row r="87" customFormat="false" ht="15" hidden="false" customHeight="true" outlineLevel="0" collapsed="false">
      <c r="B87" s="13" t="s">
        <v>379</v>
      </c>
      <c r="C87" s="22" t="n">
        <f aca="false">C78</f>
        <v>0</v>
      </c>
      <c r="D87" s="22" t="n">
        <f aca="false">D78</f>
        <v>0</v>
      </c>
      <c r="E87" s="22" t="n">
        <f aca="false">E78</f>
        <v>140000</v>
      </c>
      <c r="F87" s="22" t="n">
        <f aca="false">F78</f>
        <v>700000</v>
      </c>
      <c r="G87" s="22" t="n">
        <f aca="false">G78</f>
        <v>1820000</v>
      </c>
      <c r="H87" s="22" t="n">
        <f aca="false">H78</f>
        <v>3500000</v>
      </c>
      <c r="I87" s="22" t="n">
        <f aca="false">I78</f>
        <v>5600000</v>
      </c>
    </row>
    <row r="88" customFormat="false" ht="15" hidden="false" customHeight="true" outlineLevel="0" collapsed="false">
      <c r="B88" s="13" t="s">
        <v>380</v>
      </c>
      <c r="C88" s="22" t="n">
        <f aca="false">C82</f>
        <v>0</v>
      </c>
      <c r="D88" s="22" t="n">
        <f aca="false">D82</f>
        <v>0</v>
      </c>
      <c r="E88" s="22" t="n">
        <f aca="false">E82</f>
        <v>0</v>
      </c>
      <c r="F88" s="22" t="n">
        <f aca="false">F82</f>
        <v>459225</v>
      </c>
      <c r="G88" s="22" t="n">
        <f aca="false">G82</f>
        <v>1517587.5</v>
      </c>
      <c r="H88" s="22" t="n">
        <f aca="false">H82</f>
        <v>3382160.25</v>
      </c>
      <c r="I88" s="22" t="n">
        <f aca="false">I82</f>
        <v>5428793.4</v>
      </c>
    </row>
    <row r="89" customFormat="false" ht="15" hidden="false" customHeight="true" outlineLevel="0" collapsed="false">
      <c r="B89" s="73" t="s">
        <v>381</v>
      </c>
      <c r="C89" s="75" t="n">
        <f aca="false">SUM(C85:C88)+C131</f>
        <v>348750</v>
      </c>
      <c r="D89" s="75" t="n">
        <f aca="false">SUM(D85:D88)+D131</f>
        <v>1342125</v>
      </c>
      <c r="E89" s="75" t="n">
        <f aca="false">SUM(E85:E88)+E131</f>
        <v>3177500</v>
      </c>
      <c r="F89" s="75" t="n">
        <f aca="false">SUM(F85:F88)+F131</f>
        <v>10188875</v>
      </c>
      <c r="G89" s="75" t="n">
        <f aca="false">SUM(G85:G88)+G131</f>
        <v>23192222.5</v>
      </c>
      <c r="H89" s="75" t="n">
        <f aca="false">SUM(H85:H88)+H131</f>
        <v>40601094.25</v>
      </c>
      <c r="I89" s="75" t="n">
        <f aca="false">SUM(I85:I88)+I131</f>
        <v>60581809</v>
      </c>
    </row>
    <row r="91" customFormat="false" ht="15" hidden="false" customHeight="true" outlineLevel="0" collapsed="false">
      <c r="B91" s="4" t="s">
        <v>382</v>
      </c>
      <c r="C91" s="4"/>
      <c r="D91" s="4"/>
      <c r="E91" s="4"/>
      <c r="F91" s="4"/>
      <c r="G91" s="4"/>
      <c r="H91" s="4"/>
      <c r="I91" s="4"/>
    </row>
    <row r="92" customFormat="false" ht="15" hidden="false" customHeight="true" outlineLevel="0" collapsed="false">
      <c r="B92" s="5" t="s">
        <v>383</v>
      </c>
      <c r="C92" s="26" t="n">
        <f aca="false">C89</f>
        <v>348750</v>
      </c>
      <c r="D92" s="26" t="n">
        <f aca="false">D89</f>
        <v>1342125</v>
      </c>
      <c r="E92" s="26" t="n">
        <f aca="false">E89</f>
        <v>3177500</v>
      </c>
      <c r="F92" s="26" t="n">
        <f aca="false">F89</f>
        <v>10188875</v>
      </c>
      <c r="G92" s="26" t="n">
        <f aca="false">G89</f>
        <v>23192222.5</v>
      </c>
      <c r="H92" s="26" t="n">
        <f aca="false">H89</f>
        <v>40601094.25</v>
      </c>
      <c r="I92" s="26" t="n">
        <f aca="false">I89</f>
        <v>60581809</v>
      </c>
    </row>
    <row r="93" customFormat="false" ht="15" hidden="false" customHeight="true" outlineLevel="0" collapsed="false">
      <c r="B93" s="13" t="s">
        <v>384</v>
      </c>
      <c r="C93" s="14" t="n">
        <f aca="false">C45</f>
        <v>348750</v>
      </c>
      <c r="D93" s="14" t="n">
        <f aca="false">D45</f>
        <v>1342125</v>
      </c>
      <c r="E93" s="14" t="n">
        <f aca="false">E45</f>
        <v>3177500</v>
      </c>
      <c r="F93" s="14" t="n">
        <f aca="false">F45</f>
        <v>10188875</v>
      </c>
      <c r="G93" s="14" t="n">
        <f aca="false">G45</f>
        <v>23192222.5</v>
      </c>
      <c r="H93" s="14" t="n">
        <f aca="false">H45</f>
        <v>40601094.25</v>
      </c>
      <c r="I93" s="14" t="n">
        <f aca="false">I45</f>
        <v>60581809</v>
      </c>
    </row>
    <row r="94" customFormat="false" ht="15" hidden="false" customHeight="true" outlineLevel="0" collapsed="false">
      <c r="B94" s="5" t="s">
        <v>347</v>
      </c>
      <c r="C94" s="87" t="n">
        <f aca="false">C92-C93</f>
        <v>0</v>
      </c>
      <c r="D94" s="87" t="n">
        <f aca="false">D92-D93</f>
        <v>0</v>
      </c>
      <c r="E94" s="87" t="n">
        <f aca="false">E92-E93</f>
        <v>0</v>
      </c>
      <c r="F94" s="87" t="n">
        <f aca="false">F92-F93</f>
        <v>0</v>
      </c>
      <c r="G94" s="87" t="n">
        <f aca="false">G92-G93</f>
        <v>0</v>
      </c>
      <c r="H94" s="87" t="n">
        <f aca="false">H92-H93</f>
        <v>0</v>
      </c>
      <c r="I94" s="87" t="n">
        <f aca="false">I92-I93</f>
        <v>0</v>
      </c>
    </row>
    <row r="95" customFormat="false" ht="15" hidden="false" customHeight="true" outlineLevel="0" collapsed="false">
      <c r="B95" s="32" t="s">
        <v>348</v>
      </c>
      <c r="C95" s="49" t="n">
        <f aca="false">C94/C93</f>
        <v>0</v>
      </c>
      <c r="D95" s="49" t="n">
        <f aca="false">D94/D93</f>
        <v>0</v>
      </c>
      <c r="E95" s="49" t="n">
        <f aca="false">E94/E93</f>
        <v>0</v>
      </c>
      <c r="F95" s="49" t="n">
        <f aca="false">F94/F93</f>
        <v>0</v>
      </c>
      <c r="G95" s="49" t="n">
        <f aca="false">G94/G93</f>
        <v>0</v>
      </c>
      <c r="H95" s="49" t="n">
        <f aca="false">H94/H93</f>
        <v>0</v>
      </c>
      <c r="I95" s="49" t="n">
        <f aca="false">I94/I93</f>
        <v>0</v>
      </c>
    </row>
    <row r="96" customFormat="false" ht="15" hidden="false" customHeight="true" outlineLevel="0" collapsed="false">
      <c r="B96" s="32" t="s">
        <v>385</v>
      </c>
      <c r="C96" s="49" t="n">
        <f aca="false">C47</f>
        <v>0</v>
      </c>
      <c r="D96" s="49" t="n">
        <f aca="false">D47</f>
        <v>0</v>
      </c>
      <c r="E96" s="49" t="n">
        <f aca="false">E47</f>
        <v>-0.044059795436664</v>
      </c>
      <c r="F96" s="49" t="n">
        <f aca="false">F47</f>
        <v>-0.184831495135626</v>
      </c>
      <c r="G96" s="49" t="n">
        <f aca="false">G47</f>
        <v>-0.239976461936755</v>
      </c>
      <c r="H96" s="49" t="n">
        <f aca="false">H47</f>
        <v>-0.275070424979987</v>
      </c>
      <c r="I96" s="49" t="n">
        <f aca="false">I47</f>
        <v>-0.296100326089635</v>
      </c>
    </row>
    <row r="98" customFormat="false" ht="15" hidden="false" customHeight="true" outlineLevel="0" collapsed="false">
      <c r="B98" s="4" t="s">
        <v>386</v>
      </c>
      <c r="C98" s="4"/>
      <c r="D98" s="4"/>
      <c r="E98" s="4"/>
      <c r="F98" s="4"/>
      <c r="G98" s="4"/>
      <c r="H98" s="4"/>
      <c r="I98" s="4"/>
    </row>
    <row r="99" customFormat="false" ht="25.5" hidden="false" customHeight="true" outlineLevel="0" collapsed="false">
      <c r="B99" s="17" t="s">
        <v>387</v>
      </c>
      <c r="C99" s="17"/>
      <c r="D99" s="17"/>
      <c r="E99" s="17"/>
      <c r="F99" s="17"/>
      <c r="G99" s="17"/>
      <c r="H99" s="17"/>
      <c r="I99" s="17"/>
    </row>
    <row r="100" customFormat="false" ht="15" hidden="false" customHeight="true" outlineLevel="0" collapsed="false">
      <c r="B100" s="13" t="s">
        <v>388</v>
      </c>
      <c r="C100" s="84" t="n">
        <f aca="false">'S&amp;M Build'!C12</f>
        <v>0</v>
      </c>
      <c r="D100" s="84" t="n">
        <f aca="false">'S&amp;M Build'!D12</f>
        <v>1</v>
      </c>
      <c r="E100" s="84" t="n">
        <f aca="false">'S&amp;M Build'!E12</f>
        <v>2</v>
      </c>
      <c r="F100" s="84" t="n">
        <f aca="false">'S&amp;M Build'!F12</f>
        <v>2</v>
      </c>
      <c r="G100" s="84" t="n">
        <f aca="false">'S&amp;M Build'!G12</f>
        <v>2</v>
      </c>
      <c r="H100" s="84" t="n">
        <f aca="false">'S&amp;M Build'!H12</f>
        <v>3</v>
      </c>
      <c r="I100" s="84" t="n">
        <f aca="false">'S&amp;M Build'!I12</f>
        <v>3</v>
      </c>
    </row>
    <row r="101" customFormat="false" ht="15" hidden="false" customHeight="true" outlineLevel="0" collapsed="false">
      <c r="B101" s="13" t="s">
        <v>389</v>
      </c>
      <c r="C101" s="84" t="n">
        <f aca="false">'S&amp;M Build'!C13</f>
        <v>0</v>
      </c>
      <c r="D101" s="84" t="n">
        <f aca="false">'S&amp;M Build'!D13</f>
        <v>0</v>
      </c>
      <c r="E101" s="84" t="n">
        <f aca="false">'S&amp;M Build'!E13</f>
        <v>0</v>
      </c>
      <c r="F101" s="84" t="n">
        <f aca="false">'S&amp;M Build'!F13</f>
        <v>1</v>
      </c>
      <c r="G101" s="84" t="n">
        <f aca="false">'S&amp;M Build'!G13</f>
        <v>1</v>
      </c>
      <c r="H101" s="84" t="n">
        <f aca="false">'S&amp;M Build'!H13</f>
        <v>2</v>
      </c>
      <c r="I101" s="84" t="n">
        <f aca="false">'S&amp;M Build'!I13</f>
        <v>2</v>
      </c>
    </row>
    <row r="102" customFormat="false" ht="15" hidden="false" customHeight="true" outlineLevel="0" collapsed="false">
      <c r="B102" s="13" t="s">
        <v>390</v>
      </c>
      <c r="C102" s="84" t="n">
        <f aca="false">'S&amp;M Build'!C14</f>
        <v>0</v>
      </c>
      <c r="D102" s="84" t="n">
        <f aca="false">'S&amp;M Build'!D14</f>
        <v>0</v>
      </c>
      <c r="E102" s="84" t="n">
        <f aca="false">'S&amp;M Build'!E14</f>
        <v>0</v>
      </c>
      <c r="F102" s="84" t="n">
        <f aca="false">'S&amp;M Build'!F14</f>
        <v>0</v>
      </c>
      <c r="G102" s="84" t="n">
        <f aca="false">'S&amp;M Build'!G14</f>
        <v>0</v>
      </c>
      <c r="H102" s="84" t="n">
        <f aca="false">'S&amp;M Build'!H14</f>
        <v>0</v>
      </c>
      <c r="I102" s="84" t="n">
        <f aca="false">'S&amp;M Build'!I14</f>
        <v>0</v>
      </c>
    </row>
    <row r="103" customFormat="false" ht="15" hidden="false" customHeight="true" outlineLevel="0" collapsed="false">
      <c r="B103" s="13" t="s">
        <v>391</v>
      </c>
      <c r="C103" s="86" t="n">
        <f aca="false">C25+C100*$C$18+C101*$C$19+C102*$C$20</f>
        <v>10</v>
      </c>
      <c r="D103" s="86" t="n">
        <f aca="false">D25+D100*$C$18+D101*$C$19+D102*$C$20</f>
        <v>23</v>
      </c>
      <c r="E103" s="86" t="n">
        <f aca="false">E25+E100*$C$18+E101*$C$19+E102*$C$20</f>
        <v>36</v>
      </c>
      <c r="F103" s="86" t="n">
        <f aca="false">F25+F100*$C$18+F101*$C$19+F102*$C$20</f>
        <v>39</v>
      </c>
      <c r="G103" s="86" t="n">
        <f aca="false">G25+G100*$C$18+G101*$C$19+G102*$C$20</f>
        <v>38</v>
      </c>
      <c r="H103" s="86" t="n">
        <f aca="false">H25+H100*$C$18+H101*$C$19+H102*$C$20</f>
        <v>57</v>
      </c>
      <c r="I103" s="86" t="n">
        <f aca="false">I25+I100*$C$18+I101*$C$19+I102*$C$20</f>
        <v>57</v>
      </c>
    </row>
    <row r="104" customFormat="false" ht="15" hidden="false" customHeight="true" outlineLevel="0" collapsed="false">
      <c r="B104" s="32" t="s">
        <v>392</v>
      </c>
      <c r="C104" s="49" t="n">
        <f aca="false">$C$21</f>
        <v>1</v>
      </c>
      <c r="D104" s="49" t="n">
        <f aca="false">$C$21</f>
        <v>1</v>
      </c>
      <c r="E104" s="49" t="n">
        <f aca="false">$C$21</f>
        <v>1</v>
      </c>
      <c r="F104" s="49" t="n">
        <f aca="false">$C$22</f>
        <v>0.9</v>
      </c>
      <c r="G104" s="49" t="n">
        <f aca="false">$C$22</f>
        <v>0.9</v>
      </c>
      <c r="H104" s="49" t="n">
        <f aca="false">$C$22</f>
        <v>0.9</v>
      </c>
      <c r="I104" s="49" t="n">
        <f aca="false">$C$22</f>
        <v>0.9</v>
      </c>
    </row>
    <row r="105" customFormat="false" ht="15" hidden="false" customHeight="true" outlineLevel="0" collapsed="false">
      <c r="B105" s="13" t="s">
        <v>393</v>
      </c>
      <c r="C105" s="86" t="n">
        <v>0</v>
      </c>
      <c r="D105" s="86" t="n">
        <f aca="false">C108</f>
        <v>10</v>
      </c>
      <c r="E105" s="86" t="n">
        <f aca="false">D108</f>
        <v>33</v>
      </c>
      <c r="F105" s="86" t="n">
        <f aca="false">E108</f>
        <v>69</v>
      </c>
      <c r="G105" s="86" t="n">
        <f aca="false">F108</f>
        <v>101.1</v>
      </c>
      <c r="H105" s="86" t="n">
        <f aca="false">G108</f>
        <v>128.99</v>
      </c>
      <c r="I105" s="86" t="n">
        <f aca="false">H108</f>
        <v>173.091</v>
      </c>
    </row>
    <row r="106" customFormat="false" ht="15" hidden="false" customHeight="true" outlineLevel="0" collapsed="false">
      <c r="B106" s="13" t="s">
        <v>394</v>
      </c>
      <c r="C106" s="86" t="n">
        <f aca="false">C105*C104</f>
        <v>0</v>
      </c>
      <c r="D106" s="86" t="n">
        <f aca="false">D105*D104</f>
        <v>10</v>
      </c>
      <c r="E106" s="86" t="n">
        <f aca="false">E105*E104</f>
        <v>33</v>
      </c>
      <c r="F106" s="86" t="n">
        <f aca="false">F105*F104</f>
        <v>62.1</v>
      </c>
      <c r="G106" s="86" t="n">
        <f aca="false">G105*G104</f>
        <v>90.99</v>
      </c>
      <c r="H106" s="86" t="n">
        <f aca="false">H105*H104</f>
        <v>116.091</v>
      </c>
      <c r="I106" s="86" t="n">
        <f aca="false">I105*I104</f>
        <v>155.7819</v>
      </c>
    </row>
    <row r="107" customFormat="false" ht="15" hidden="false" customHeight="true" outlineLevel="0" collapsed="false">
      <c r="B107" s="13" t="s">
        <v>395</v>
      </c>
      <c r="C107" s="86" t="n">
        <f aca="false">C103</f>
        <v>10</v>
      </c>
      <c r="D107" s="86" t="n">
        <f aca="false">D103</f>
        <v>23</v>
      </c>
      <c r="E107" s="86" t="n">
        <f aca="false">E103</f>
        <v>36</v>
      </c>
      <c r="F107" s="86" t="n">
        <f aca="false">F103</f>
        <v>39</v>
      </c>
      <c r="G107" s="86" t="n">
        <f aca="false">G103</f>
        <v>38</v>
      </c>
      <c r="H107" s="86" t="n">
        <f aca="false">H103</f>
        <v>57</v>
      </c>
      <c r="I107" s="86" t="n">
        <f aca="false">I103</f>
        <v>57</v>
      </c>
    </row>
    <row r="108" customFormat="false" ht="15" hidden="false" customHeight="true" outlineLevel="0" collapsed="false">
      <c r="B108" s="5" t="s">
        <v>396</v>
      </c>
      <c r="C108" s="88" t="n">
        <f aca="false">C106+C107</f>
        <v>10</v>
      </c>
      <c r="D108" s="88" t="n">
        <f aca="false">D106+D107</f>
        <v>33</v>
      </c>
      <c r="E108" s="88" t="n">
        <f aca="false">E106+E107</f>
        <v>69</v>
      </c>
      <c r="F108" s="88" t="n">
        <f aca="false">F106+F107</f>
        <v>101.1</v>
      </c>
      <c r="G108" s="88" t="n">
        <f aca="false">G106+G107</f>
        <v>128.99</v>
      </c>
      <c r="H108" s="88" t="n">
        <f aca="false">H106+H107</f>
        <v>173.091</v>
      </c>
      <c r="I108" s="88" t="n">
        <f aca="false">I106+I107</f>
        <v>212.7819</v>
      </c>
    </row>
    <row r="109" customFormat="false" ht="15" hidden="false" customHeight="true" outlineLevel="0" collapsed="false">
      <c r="B109" s="13" t="s">
        <v>397</v>
      </c>
      <c r="C109" s="22" t="n">
        <f aca="false">C106*$C$10+C107*$C$8*$C$16</f>
        <v>348750</v>
      </c>
      <c r="D109" s="22" t="n">
        <f aca="false">D106*$C$10+D107*$C$8*$C$16</f>
        <v>1342125</v>
      </c>
      <c r="E109" s="22" t="n">
        <f aca="false">E106*$C$10+E107*$C$8*$C$16</f>
        <v>3037500</v>
      </c>
      <c r="F109" s="22" t="n">
        <f aca="false">F106*$C$10+F107*$C$8*$C$16</f>
        <v>4713525</v>
      </c>
      <c r="G109" s="22" t="n">
        <f aca="false">G106*$C$10+G107*$C$8*$C$16</f>
        <v>6238710</v>
      </c>
      <c r="H109" s="22" t="n">
        <f aca="false">H106*$C$10+H107*$C$8*$C$16</f>
        <v>8256789</v>
      </c>
      <c r="I109" s="22" t="n">
        <f aca="false">I106*$C$10+I107*$C$8*$C$16</f>
        <v>10400097.6</v>
      </c>
    </row>
    <row r="110" customFormat="false" ht="15" hidden="false" customHeight="true" outlineLevel="0" collapsed="false">
      <c r="B110" s="13" t="s">
        <v>398</v>
      </c>
      <c r="C110" s="86" t="n">
        <f aca="false">C63</f>
        <v>0</v>
      </c>
      <c r="D110" s="86" t="n">
        <f aca="false">C110+D63</f>
        <v>0</v>
      </c>
      <c r="E110" s="86" t="n">
        <f aca="false">D110+E63</f>
        <v>0</v>
      </c>
      <c r="F110" s="86" t="n">
        <f aca="false">E110+F63</f>
        <v>0</v>
      </c>
      <c r="G110" s="86" t="n">
        <f aca="false">F110+G63</f>
        <v>0</v>
      </c>
      <c r="H110" s="86" t="n">
        <f aca="false">G110+H63</f>
        <v>0</v>
      </c>
      <c r="I110" s="86" t="n">
        <f aca="false">H110+I63</f>
        <v>0</v>
      </c>
    </row>
    <row r="111" customFormat="false" ht="15" hidden="false" customHeight="true" outlineLevel="0" collapsed="false">
      <c r="B111" s="13" t="s">
        <v>399</v>
      </c>
      <c r="C111" s="22" t="n">
        <f aca="false">C110*$C$67</f>
        <v>0</v>
      </c>
      <c r="D111" s="22" t="n">
        <f aca="false">D110*$C$67</f>
        <v>0</v>
      </c>
      <c r="E111" s="22" t="n">
        <f aca="false">E110*$C$67</f>
        <v>0</v>
      </c>
      <c r="F111" s="22" t="n">
        <f aca="false">F110*$C$67</f>
        <v>0</v>
      </c>
      <c r="G111" s="22" t="n">
        <f aca="false">G110*$C$67</f>
        <v>0</v>
      </c>
      <c r="H111" s="22" t="n">
        <f aca="false">H110*$C$67</f>
        <v>0</v>
      </c>
      <c r="I111" s="22" t="n">
        <f aca="false">I110*$C$67</f>
        <v>0</v>
      </c>
    </row>
    <row r="112" customFormat="false" ht="15" hidden="false" customHeight="true" outlineLevel="0" collapsed="false">
      <c r="B112" s="13" t="s">
        <v>400</v>
      </c>
      <c r="C112" s="86" t="n">
        <f aca="false">C72</f>
        <v>0</v>
      </c>
      <c r="D112" s="86" t="n">
        <f aca="false">C112+D72</f>
        <v>0</v>
      </c>
      <c r="E112" s="86" t="n">
        <f aca="false">D112+E72</f>
        <v>1</v>
      </c>
      <c r="F112" s="86" t="n">
        <f aca="false">E112+F72</f>
        <v>1</v>
      </c>
      <c r="G112" s="86" t="n">
        <f aca="false">F112+G72</f>
        <v>1</v>
      </c>
      <c r="H112" s="86" t="n">
        <f aca="false">G112+H72</f>
        <v>1</v>
      </c>
      <c r="I112" s="86" t="n">
        <f aca="false">H112+I72</f>
        <v>1</v>
      </c>
    </row>
    <row r="113" customFormat="false" ht="15" hidden="false" customHeight="true" outlineLevel="0" collapsed="false">
      <c r="B113" s="13" t="s">
        <v>401</v>
      </c>
      <c r="C113" s="22" t="n">
        <f aca="false">C112*$C$76</f>
        <v>0</v>
      </c>
      <c r="D113" s="22" t="n">
        <f aca="false">D112*$C$76</f>
        <v>0</v>
      </c>
      <c r="E113" s="22" t="n">
        <f aca="false">E112*$C$76</f>
        <v>140000</v>
      </c>
      <c r="F113" s="22" t="n">
        <f aca="false">F112*$C$76</f>
        <v>140000</v>
      </c>
      <c r="G113" s="22" t="n">
        <f aca="false">G112*$C$76</f>
        <v>140000</v>
      </c>
      <c r="H113" s="22" t="n">
        <f aca="false">H112*$C$76</f>
        <v>140000</v>
      </c>
      <c r="I113" s="22" t="n">
        <f aca="false">I112*$C$76</f>
        <v>140000</v>
      </c>
    </row>
    <row r="114" customFormat="false" ht="15" hidden="false" customHeight="true" outlineLevel="0" collapsed="false">
      <c r="B114" s="13" t="s">
        <v>402</v>
      </c>
      <c r="C114" s="22" t="n">
        <f aca="false">C108*C80*$C$81</f>
        <v>0</v>
      </c>
      <c r="D114" s="22" t="n">
        <f aca="false">D108*D80*$C$81</f>
        <v>0</v>
      </c>
      <c r="E114" s="22" t="n">
        <f aca="false">E108*E80*$C$81</f>
        <v>0</v>
      </c>
      <c r="F114" s="22" t="n">
        <f aca="false">F108*F80*$C$81</f>
        <v>227475</v>
      </c>
      <c r="G114" s="22" t="n">
        <f aca="false">G108*G80*$C$81</f>
        <v>483712.5</v>
      </c>
      <c r="H114" s="22" t="n">
        <f aca="false">H108*H80*$C$81</f>
        <v>908727.75</v>
      </c>
      <c r="I114" s="22" t="n">
        <f aca="false">I108*I80*$C$81</f>
        <v>1276691.4</v>
      </c>
    </row>
    <row r="115" customFormat="false" ht="15" hidden="false" customHeight="true" outlineLevel="0" collapsed="false">
      <c r="B115" s="73" t="s">
        <v>403</v>
      </c>
      <c r="C115" s="75" t="n">
        <f aca="false">C109+C111+C113+C114+C116*$C$124</f>
        <v>348750</v>
      </c>
      <c r="D115" s="75" t="n">
        <f aca="false">D109+D111+D113+D114+D116*$C$124</f>
        <v>1342125</v>
      </c>
      <c r="E115" s="75" t="n">
        <f aca="false">E109+E111+E113+E114+E116*$C$124</f>
        <v>3177500</v>
      </c>
      <c r="F115" s="75" t="n">
        <f aca="false">F109+F111+F113+F114+F116*$C$124</f>
        <v>5081000</v>
      </c>
      <c r="G115" s="75" t="n">
        <f aca="false">G109+G111+G113+G114+G116*$C$124</f>
        <v>6862422.5</v>
      </c>
      <c r="H115" s="75" t="n">
        <f aca="false">H109+H111+H113+H114+H116*$C$124</f>
        <v>9305516.75</v>
      </c>
      <c r="I115" s="75" t="n">
        <f aca="false">I109+I111+I113+I114+I116*$C$124</f>
        <v>11816789</v>
      </c>
    </row>
    <row r="116" customFormat="false" ht="15" hidden="false" customHeight="true" outlineLevel="0" collapsed="false">
      <c r="B116" s="91" t="s">
        <v>404</v>
      </c>
      <c r="C116" s="92" t="n">
        <f aca="false">C120</f>
        <v>0</v>
      </c>
      <c r="D116" s="92" t="n">
        <f aca="false">C116+D120</f>
        <v>0</v>
      </c>
      <c r="E116" s="92" t="n">
        <f aca="false">D116+E120</f>
        <v>0</v>
      </c>
      <c r="F116" s="92" t="n">
        <f aca="false">E116+F120</f>
        <v>0</v>
      </c>
      <c r="G116" s="92" t="n">
        <f aca="false">F116+G120</f>
        <v>0</v>
      </c>
      <c r="H116" s="92" t="n">
        <f aca="false">G116+H120</f>
        <v>0</v>
      </c>
      <c r="I116" s="92" t="n">
        <f aca="false">H116+I120</f>
        <v>0</v>
      </c>
    </row>
    <row r="117" customFormat="false" ht="15" hidden="false" customHeight="true" outlineLevel="0" collapsed="false">
      <c r="B117" s="4" t="s">
        <v>405</v>
      </c>
      <c r="C117" s="4"/>
      <c r="D117" s="4"/>
      <c r="E117" s="4"/>
      <c r="F117" s="4"/>
      <c r="G117" s="4"/>
      <c r="H117" s="4"/>
      <c r="I117" s="4"/>
    </row>
    <row r="118" customFormat="false" ht="25.5" hidden="false" customHeight="true" outlineLevel="0" collapsed="false">
      <c r="B118" s="17" t="s">
        <v>406</v>
      </c>
      <c r="C118" s="17"/>
      <c r="D118" s="17"/>
      <c r="E118" s="17"/>
      <c r="F118" s="17"/>
      <c r="G118" s="17"/>
      <c r="H118" s="17"/>
      <c r="I118" s="17"/>
    </row>
    <row r="119" customFormat="false" ht="15" hidden="false" customHeight="true" outlineLevel="0" collapsed="false">
      <c r="B119" s="5" t="s">
        <v>407</v>
      </c>
    </row>
    <row r="120" customFormat="false" ht="15" hidden="false" customHeight="true" outlineLevel="0" collapsed="false">
      <c r="B120" s="13" t="s">
        <v>361</v>
      </c>
      <c r="C120" s="83" t="n">
        <v>0</v>
      </c>
      <c r="D120" s="83" t="n">
        <v>0</v>
      </c>
      <c r="E120" s="83" t="n">
        <v>0</v>
      </c>
      <c r="F120" s="83" t="n">
        <v>0</v>
      </c>
      <c r="G120" s="83" t="n">
        <v>0</v>
      </c>
      <c r="H120" s="83" t="n">
        <v>0</v>
      </c>
      <c r="I120" s="83" t="n">
        <v>0</v>
      </c>
    </row>
    <row r="121" customFormat="false" ht="15" hidden="false" customHeight="true" outlineLevel="0" collapsed="false">
      <c r="B121" s="13" t="s">
        <v>362</v>
      </c>
      <c r="C121" s="83" t="n">
        <v>0</v>
      </c>
      <c r="D121" s="83" t="n">
        <v>0</v>
      </c>
      <c r="E121" s="83" t="n">
        <v>0</v>
      </c>
      <c r="F121" s="83" t="n">
        <v>8</v>
      </c>
      <c r="G121" s="83" t="n">
        <v>25</v>
      </c>
      <c r="H121" s="83" t="n">
        <v>45</v>
      </c>
      <c r="I121" s="83" t="n">
        <v>70</v>
      </c>
    </row>
    <row r="122" customFormat="false" ht="15" hidden="false" customHeight="true" outlineLevel="0" collapsed="false">
      <c r="B122" s="13" t="s">
        <v>363</v>
      </c>
      <c r="C122" s="83" t="n">
        <v>0</v>
      </c>
      <c r="D122" s="83" t="n">
        <v>0</v>
      </c>
      <c r="E122" s="83" t="n">
        <v>0</v>
      </c>
      <c r="F122" s="83" t="n">
        <v>10</v>
      </c>
      <c r="G122" s="83" t="n">
        <v>40</v>
      </c>
      <c r="H122" s="83" t="n">
        <v>85</v>
      </c>
      <c r="I122" s="83" t="n">
        <v>150</v>
      </c>
    </row>
    <row r="123" customFormat="false" ht="15" hidden="false" customHeight="true" outlineLevel="0" collapsed="false">
      <c r="B123" s="13" t="s">
        <v>408</v>
      </c>
      <c r="C123" s="84" t="n">
        <f aca="false">CHOOSE(Control!$C$8,C120,C121,C122)</f>
        <v>0</v>
      </c>
      <c r="D123" s="84" t="n">
        <f aca="false">CHOOSE(Control!$C$8,D120,D121,D122)</f>
        <v>0</v>
      </c>
      <c r="E123" s="84" t="n">
        <f aca="false">CHOOSE(Control!$C$8,E120,E121,E122)</f>
        <v>0</v>
      </c>
      <c r="F123" s="84" t="n">
        <f aca="false">CHOOSE(Control!$C$8,F120,F121,F122)</f>
        <v>8</v>
      </c>
      <c r="G123" s="84" t="n">
        <f aca="false">CHOOSE(Control!$C$8,G120,G121,G122)</f>
        <v>25</v>
      </c>
      <c r="H123" s="84" t="n">
        <f aca="false">CHOOSE(Control!$C$8,H120,H121,H122)</f>
        <v>45</v>
      </c>
      <c r="I123" s="84" t="n">
        <f aca="false">CHOOSE(Control!$C$8,I120,I121,I122)</f>
        <v>70</v>
      </c>
    </row>
    <row r="124" customFormat="false" ht="15" hidden="false" customHeight="true" outlineLevel="0" collapsed="false">
      <c r="B124" s="13" t="s">
        <v>409</v>
      </c>
      <c r="C124" s="52" t="n">
        <v>8000</v>
      </c>
    </row>
    <row r="125" customFormat="false" ht="15" hidden="false" customHeight="true" outlineLevel="0" collapsed="false">
      <c r="B125" s="13" t="s">
        <v>410</v>
      </c>
      <c r="C125" s="56" t="n">
        <v>0.75</v>
      </c>
    </row>
    <row r="127" customFormat="false" ht="15" hidden="false" customHeight="true" outlineLevel="0" collapsed="false">
      <c r="B127" s="13" t="s">
        <v>411</v>
      </c>
      <c r="C127" s="86" t="n">
        <v>0</v>
      </c>
      <c r="D127" s="86" t="n">
        <f aca="false">C130</f>
        <v>0</v>
      </c>
      <c r="E127" s="86" t="n">
        <f aca="false">D130</f>
        <v>0</v>
      </c>
      <c r="F127" s="86" t="n">
        <f aca="false">E130</f>
        <v>0</v>
      </c>
      <c r="G127" s="86" t="n">
        <f aca="false">F130</f>
        <v>8</v>
      </c>
      <c r="H127" s="86" t="n">
        <f aca="false">G130</f>
        <v>31</v>
      </c>
      <c r="I127" s="86" t="n">
        <f aca="false">H130</f>
        <v>68.25</v>
      </c>
    </row>
    <row r="128" customFormat="false" ht="15" hidden="false" customHeight="true" outlineLevel="0" collapsed="false">
      <c r="B128" s="13" t="s">
        <v>412</v>
      </c>
      <c r="C128" s="86" t="n">
        <f aca="false">C127*$C$125</f>
        <v>0</v>
      </c>
      <c r="D128" s="86" t="n">
        <f aca="false">D127*$C$125</f>
        <v>0</v>
      </c>
      <c r="E128" s="86" t="n">
        <f aca="false">E127*$C$125</f>
        <v>0</v>
      </c>
      <c r="F128" s="86" t="n">
        <f aca="false">F127*$C$125</f>
        <v>0</v>
      </c>
      <c r="G128" s="86" t="n">
        <f aca="false">G127*$C$125</f>
        <v>6</v>
      </c>
      <c r="H128" s="86" t="n">
        <f aca="false">H127*$C$125</f>
        <v>23.25</v>
      </c>
      <c r="I128" s="86" t="n">
        <f aca="false">I127*$C$125</f>
        <v>51.1875</v>
      </c>
    </row>
    <row r="129" customFormat="false" ht="15" hidden="false" customHeight="true" outlineLevel="0" collapsed="false">
      <c r="B129" s="13" t="s">
        <v>413</v>
      </c>
      <c r="C129" s="86" t="n">
        <f aca="false">C123</f>
        <v>0</v>
      </c>
      <c r="D129" s="86" t="n">
        <f aca="false">D123</f>
        <v>0</v>
      </c>
      <c r="E129" s="86" t="n">
        <f aca="false">E123</f>
        <v>0</v>
      </c>
      <c r="F129" s="86" t="n">
        <f aca="false">F123</f>
        <v>8</v>
      </c>
      <c r="G129" s="86" t="n">
        <f aca="false">G123</f>
        <v>25</v>
      </c>
      <c r="H129" s="86" t="n">
        <f aca="false">H123</f>
        <v>45</v>
      </c>
      <c r="I129" s="86" t="n">
        <f aca="false">I123</f>
        <v>70</v>
      </c>
    </row>
    <row r="130" customFormat="false" ht="15" hidden="false" customHeight="true" outlineLevel="0" collapsed="false">
      <c r="B130" s="5" t="s">
        <v>414</v>
      </c>
      <c r="C130" s="88" t="n">
        <f aca="false">C128+C129</f>
        <v>0</v>
      </c>
      <c r="D130" s="88" t="n">
        <f aca="false">D128+D129</f>
        <v>0</v>
      </c>
      <c r="E130" s="88" t="n">
        <f aca="false">E128+E129</f>
        <v>0</v>
      </c>
      <c r="F130" s="88" t="n">
        <f aca="false">F128+F129</f>
        <v>8</v>
      </c>
      <c r="G130" s="88" t="n">
        <f aca="false">G128+G129</f>
        <v>31</v>
      </c>
      <c r="H130" s="88" t="n">
        <f aca="false">H128+H129</f>
        <v>68.25</v>
      </c>
      <c r="I130" s="88" t="n">
        <f aca="false">I128+I129</f>
        <v>121.1875</v>
      </c>
    </row>
    <row r="131" customFormat="false" ht="15" hidden="false" customHeight="true" outlineLevel="0" collapsed="false">
      <c r="B131" s="5" t="s">
        <v>415</v>
      </c>
      <c r="C131" s="28" t="n">
        <f aca="false">C130*$C$124</f>
        <v>0</v>
      </c>
      <c r="D131" s="28" t="n">
        <f aca="false">D130*$C$124</f>
        <v>0</v>
      </c>
      <c r="E131" s="28" t="n">
        <f aca="false">E130*$C$124</f>
        <v>0</v>
      </c>
      <c r="F131" s="28" t="n">
        <f aca="false">F130*$C$124</f>
        <v>64000</v>
      </c>
      <c r="G131" s="28" t="n">
        <f aca="false">G130*$C$124</f>
        <v>248000</v>
      </c>
      <c r="H131" s="28" t="n">
        <f aca="false">H130*$C$124</f>
        <v>546000</v>
      </c>
      <c r="I131" s="28" t="n">
        <f aca="false">I130*$C$124</f>
        <v>969500</v>
      </c>
    </row>
    <row r="133" customFormat="false" ht="15" hidden="false" customHeight="true" outlineLevel="0" collapsed="false">
      <c r="B133" s="4" t="s">
        <v>416</v>
      </c>
      <c r="C133" s="4"/>
      <c r="D133" s="4"/>
      <c r="E133" s="4"/>
      <c r="F133" s="4"/>
      <c r="G133" s="4"/>
      <c r="H133" s="4"/>
      <c r="I133" s="4"/>
    </row>
    <row r="135" customFormat="false" ht="15" hidden="false" customHeight="true" outlineLevel="0" collapsed="false">
      <c r="B135" s="13" t="s">
        <v>417</v>
      </c>
      <c r="C135" s="84" t="n">
        <f aca="false">'S&amp;M Build'!C19</f>
        <v>0</v>
      </c>
      <c r="D135" s="84" t="n">
        <f aca="false">'S&amp;M Build'!D19</f>
        <v>1</v>
      </c>
      <c r="E135" s="84" t="n">
        <f aca="false">'S&amp;M Build'!E19</f>
        <v>2</v>
      </c>
      <c r="F135" s="84" t="n">
        <f aca="false">'S&amp;M Build'!F19</f>
        <v>7</v>
      </c>
      <c r="G135" s="84" t="n">
        <f aca="false">'S&amp;M Build'!G19</f>
        <v>11</v>
      </c>
      <c r="H135" s="84" t="n">
        <f aca="false">'S&amp;M Build'!H19</f>
        <v>14</v>
      </c>
      <c r="I135" s="84" t="n">
        <f aca="false">'S&amp;M Build'!I19</f>
        <v>16</v>
      </c>
    </row>
    <row r="136" customFormat="false" ht="15" hidden="false" customHeight="true" outlineLevel="0" collapsed="false">
      <c r="B136" s="13" t="s">
        <v>418</v>
      </c>
      <c r="C136" s="84" t="n">
        <f aca="false">'S&amp;M Build'!C20</f>
        <v>0</v>
      </c>
      <c r="D136" s="84" t="n">
        <f aca="false">'S&amp;M Build'!D20</f>
        <v>0</v>
      </c>
      <c r="E136" s="84" t="n">
        <f aca="false">'S&amp;M Build'!E20</f>
        <v>0</v>
      </c>
      <c r="F136" s="84" t="n">
        <f aca="false">'S&amp;M Build'!F20</f>
        <v>6</v>
      </c>
      <c r="G136" s="84" t="n">
        <f aca="false">'S&amp;M Build'!G20</f>
        <v>10</v>
      </c>
      <c r="H136" s="84" t="n">
        <f aca="false">'S&amp;M Build'!H20</f>
        <v>13</v>
      </c>
      <c r="I136" s="84" t="n">
        <f aca="false">'S&amp;M Build'!I20</f>
        <v>16</v>
      </c>
    </row>
    <row r="137" customFormat="false" ht="15" hidden="false" customHeight="true" outlineLevel="0" collapsed="false">
      <c r="B137" s="13" t="s">
        <v>419</v>
      </c>
      <c r="C137" s="84" t="n">
        <f aca="false">'S&amp;M Build'!C21</f>
        <v>0</v>
      </c>
      <c r="D137" s="84" t="n">
        <f aca="false">'S&amp;M Build'!D21</f>
        <v>0</v>
      </c>
      <c r="E137" s="84" t="n">
        <f aca="false">'S&amp;M Build'!E21</f>
        <v>0</v>
      </c>
      <c r="F137" s="84" t="n">
        <f aca="false">'S&amp;M Build'!F21</f>
        <v>1</v>
      </c>
      <c r="G137" s="84" t="n">
        <f aca="false">'S&amp;M Build'!G21</f>
        <v>1</v>
      </c>
      <c r="H137" s="84" t="n">
        <f aca="false">'S&amp;M Build'!H21</f>
        <v>1</v>
      </c>
      <c r="I137" s="84" t="n">
        <f aca="false">'S&amp;M Build'!I21</f>
        <v>1</v>
      </c>
    </row>
    <row r="138" customFormat="false" ht="15" hidden="false" customHeight="true" outlineLevel="0" collapsed="false">
      <c r="B138" s="13" t="s">
        <v>420</v>
      </c>
      <c r="C138" s="86" t="n">
        <f aca="false">C25+C135*$C$18+C136*$C$19+C137*$C$20</f>
        <v>10</v>
      </c>
      <c r="D138" s="86" t="n">
        <f aca="false">D25+D135*$C$18+D136*$C$19+D137*$C$20</f>
        <v>23</v>
      </c>
      <c r="E138" s="86" t="n">
        <f aca="false">E25+E135*$C$18+E136*$C$19+E137*$C$20</f>
        <v>36</v>
      </c>
      <c r="F138" s="86" t="n">
        <f aca="false">F25+F135*$C$18+F136*$C$19+F137*$C$20</f>
        <v>142</v>
      </c>
      <c r="G138" s="86" t="n">
        <f aca="false">G25+G135*$C$18+G136*$C$19+G137*$C$20</f>
        <v>221</v>
      </c>
      <c r="H138" s="86" t="n">
        <f aca="false">H25+H135*$C$18+H136*$C$19+H137*$C$20</f>
        <v>280</v>
      </c>
      <c r="I138" s="86" t="n">
        <f aca="false">I25+I135*$C$18+I136*$C$19+I137*$C$20</f>
        <v>325</v>
      </c>
    </row>
    <row r="139" customFormat="false" ht="15" hidden="false" customHeight="true" outlineLevel="0" collapsed="false">
      <c r="B139" s="32" t="s">
        <v>421</v>
      </c>
      <c r="C139" s="49" t="n">
        <f aca="false">$C$21</f>
        <v>1</v>
      </c>
      <c r="D139" s="49" t="n">
        <f aca="false">$C$21</f>
        <v>1</v>
      </c>
      <c r="E139" s="49" t="n">
        <f aca="false">$C$21</f>
        <v>1</v>
      </c>
      <c r="F139" s="49" t="n">
        <f aca="false">$C$22</f>
        <v>0.9</v>
      </c>
      <c r="G139" s="49" t="n">
        <f aca="false">$C$22</f>
        <v>0.9</v>
      </c>
      <c r="H139" s="49" t="n">
        <f aca="false">$C$22</f>
        <v>0.9</v>
      </c>
      <c r="I139" s="49" t="n">
        <f aca="false">$C$22</f>
        <v>0.9</v>
      </c>
    </row>
    <row r="140" customFormat="false" ht="15" hidden="false" customHeight="true" outlineLevel="0" collapsed="false">
      <c r="B140" s="13" t="s">
        <v>422</v>
      </c>
      <c r="C140" s="86" t="n">
        <v>0</v>
      </c>
      <c r="D140" s="86" t="n">
        <f aca="false">C143</f>
        <v>10</v>
      </c>
      <c r="E140" s="86" t="n">
        <f aca="false">D143</f>
        <v>33</v>
      </c>
      <c r="F140" s="86" t="n">
        <f aca="false">E143</f>
        <v>69</v>
      </c>
      <c r="G140" s="86" t="n">
        <f aca="false">F143</f>
        <v>204.1</v>
      </c>
      <c r="H140" s="86" t="n">
        <f aca="false">G143</f>
        <v>404.69</v>
      </c>
      <c r="I140" s="86" t="n">
        <f aca="false">H143</f>
        <v>644.221</v>
      </c>
    </row>
    <row r="141" customFormat="false" ht="15" hidden="false" customHeight="true" outlineLevel="0" collapsed="false">
      <c r="B141" s="13" t="s">
        <v>423</v>
      </c>
      <c r="C141" s="86" t="n">
        <f aca="false">C140*C139</f>
        <v>0</v>
      </c>
      <c r="D141" s="86" t="n">
        <f aca="false">D140*D139</f>
        <v>10</v>
      </c>
      <c r="E141" s="86" t="n">
        <f aca="false">E140*E139</f>
        <v>33</v>
      </c>
      <c r="F141" s="86" t="n">
        <f aca="false">F140*F139</f>
        <v>62.1</v>
      </c>
      <c r="G141" s="86" t="n">
        <f aca="false">G140*G139</f>
        <v>183.69</v>
      </c>
      <c r="H141" s="86" t="n">
        <f aca="false">H140*H139</f>
        <v>364.221</v>
      </c>
      <c r="I141" s="86" t="n">
        <f aca="false">I140*I139</f>
        <v>579.7989</v>
      </c>
    </row>
    <row r="142" customFormat="false" ht="15" hidden="false" customHeight="true" outlineLevel="0" collapsed="false">
      <c r="B142" s="13" t="s">
        <v>424</v>
      </c>
      <c r="C142" s="86" t="n">
        <f aca="false">C138</f>
        <v>10</v>
      </c>
      <c r="D142" s="86" t="n">
        <f aca="false">D138</f>
        <v>23</v>
      </c>
      <c r="E142" s="86" t="n">
        <f aca="false">E138</f>
        <v>36</v>
      </c>
      <c r="F142" s="86" t="n">
        <f aca="false">F138</f>
        <v>142</v>
      </c>
      <c r="G142" s="86" t="n">
        <f aca="false">G138</f>
        <v>221</v>
      </c>
      <c r="H142" s="86" t="n">
        <f aca="false">H138</f>
        <v>280</v>
      </c>
      <c r="I142" s="86" t="n">
        <f aca="false">I138</f>
        <v>325</v>
      </c>
    </row>
    <row r="143" customFormat="false" ht="15" hidden="false" customHeight="true" outlineLevel="0" collapsed="false">
      <c r="B143" s="5" t="s">
        <v>425</v>
      </c>
      <c r="C143" s="88" t="n">
        <f aca="false">C141+C142</f>
        <v>10</v>
      </c>
      <c r="D143" s="88" t="n">
        <f aca="false">D141+D142</f>
        <v>33</v>
      </c>
      <c r="E143" s="88" t="n">
        <f aca="false">E141+E142</f>
        <v>69</v>
      </c>
      <c r="F143" s="88" t="n">
        <f aca="false">F141+F142</f>
        <v>204.1</v>
      </c>
      <c r="G143" s="88" t="n">
        <f aca="false">G141+G142</f>
        <v>404.69</v>
      </c>
      <c r="H143" s="88" t="n">
        <f aca="false">H141+H142</f>
        <v>644.221</v>
      </c>
      <c r="I143" s="88" t="n">
        <f aca="false">I141+I142</f>
        <v>904.7989</v>
      </c>
    </row>
    <row r="144" customFormat="false" ht="15" hidden="false" customHeight="true" outlineLevel="0" collapsed="false">
      <c r="B144" s="13" t="s">
        <v>426</v>
      </c>
      <c r="C144" s="22" t="n">
        <f aca="false">C141*$C$10+C142*$C$8*$C$16</f>
        <v>348750</v>
      </c>
      <c r="D144" s="22" t="n">
        <f aca="false">D141*$C$10+D142*$C$8*$C$16</f>
        <v>1342125</v>
      </c>
      <c r="E144" s="22" t="n">
        <f aca="false">E141*$C$10+E142*$C$8*$C$16</f>
        <v>3037500</v>
      </c>
      <c r="F144" s="22" t="n">
        <f aca="false">F141*$C$10+F142*$C$8*$C$16</f>
        <v>8305650</v>
      </c>
      <c r="G144" s="22" t="n">
        <f aca="false">G141*$C$10+G142*$C$8*$C$16</f>
        <v>17626635</v>
      </c>
      <c r="H144" s="22" t="n">
        <f aca="false">H141*$C$10+H142*$C$8*$C$16</f>
        <v>29432934</v>
      </c>
      <c r="I144" s="22" t="n">
        <f aca="false">I141*$C$10+I142*$C$8*$C$16</f>
        <v>42643515.6</v>
      </c>
    </row>
    <row r="145" customFormat="false" ht="15" hidden="false" customHeight="true" outlineLevel="0" collapsed="false">
      <c r="B145" s="13" t="s">
        <v>427</v>
      </c>
      <c r="C145" s="86" t="n">
        <f aca="false">C64</f>
        <v>0</v>
      </c>
      <c r="D145" s="86" t="n">
        <f aca="false">C145+D64</f>
        <v>0</v>
      </c>
      <c r="E145" s="86" t="n">
        <f aca="false">D145+E64</f>
        <v>0</v>
      </c>
      <c r="F145" s="86" t="n">
        <f aca="false">E145+F64</f>
        <v>3</v>
      </c>
      <c r="G145" s="86" t="n">
        <f aca="false">F145+G64</f>
        <v>9</v>
      </c>
      <c r="H145" s="86" t="n">
        <f aca="false">G145+H64</f>
        <v>17</v>
      </c>
      <c r="I145" s="86" t="n">
        <f aca="false">H145+I64</f>
        <v>27</v>
      </c>
    </row>
    <row r="146" customFormat="false" ht="15" hidden="false" customHeight="true" outlineLevel="0" collapsed="false">
      <c r="B146" s="13" t="s">
        <v>428</v>
      </c>
      <c r="C146" s="22" t="n">
        <f aca="false">C145*$C$67</f>
        <v>0</v>
      </c>
      <c r="D146" s="22" t="n">
        <f aca="false">D145*$C$67</f>
        <v>0</v>
      </c>
      <c r="E146" s="22" t="n">
        <f aca="false">E145*$C$67</f>
        <v>0</v>
      </c>
      <c r="F146" s="22" t="n">
        <f aca="false">F145*$C$67</f>
        <v>660000</v>
      </c>
      <c r="G146" s="22" t="n">
        <f aca="false">G145*$C$67</f>
        <v>1980000</v>
      </c>
      <c r="H146" s="22" t="n">
        <f aca="false">H145*$C$67</f>
        <v>3740000</v>
      </c>
      <c r="I146" s="22" t="n">
        <f aca="false">I145*$C$67</f>
        <v>5940000</v>
      </c>
    </row>
    <row r="147" customFormat="false" ht="15" hidden="false" customHeight="true" outlineLevel="0" collapsed="false">
      <c r="B147" s="13" t="s">
        <v>429</v>
      </c>
      <c r="C147" s="86" t="n">
        <f aca="false">C73</f>
        <v>0</v>
      </c>
      <c r="D147" s="86" t="n">
        <f aca="false">C147+D73</f>
        <v>0</v>
      </c>
      <c r="E147" s="86" t="n">
        <f aca="false">D147+E73</f>
        <v>1</v>
      </c>
      <c r="F147" s="86" t="n">
        <f aca="false">E147+F73</f>
        <v>5</v>
      </c>
      <c r="G147" s="86" t="n">
        <f aca="false">F147+G73</f>
        <v>13</v>
      </c>
      <c r="H147" s="86" t="n">
        <f aca="false">G147+H73</f>
        <v>25</v>
      </c>
      <c r="I147" s="86" t="n">
        <f aca="false">H147+I73</f>
        <v>40</v>
      </c>
    </row>
    <row r="148" customFormat="false" ht="15" hidden="false" customHeight="true" outlineLevel="0" collapsed="false">
      <c r="B148" s="13" t="s">
        <v>430</v>
      </c>
      <c r="C148" s="22" t="n">
        <f aca="false">C147*$C$76</f>
        <v>0</v>
      </c>
      <c r="D148" s="22" t="n">
        <f aca="false">D147*$C$76</f>
        <v>0</v>
      </c>
      <c r="E148" s="22" t="n">
        <f aca="false">E147*$C$76</f>
        <v>140000</v>
      </c>
      <c r="F148" s="22" t="n">
        <f aca="false">F147*$C$76</f>
        <v>700000</v>
      </c>
      <c r="G148" s="22" t="n">
        <f aca="false">G147*$C$76</f>
        <v>1820000</v>
      </c>
      <c r="H148" s="22" t="n">
        <f aca="false">H147*$C$76</f>
        <v>3500000</v>
      </c>
      <c r="I148" s="22" t="n">
        <f aca="false">I147*$C$76</f>
        <v>5600000</v>
      </c>
    </row>
    <row r="149" customFormat="false" ht="15" hidden="false" customHeight="true" outlineLevel="0" collapsed="false">
      <c r="B149" s="13" t="s">
        <v>431</v>
      </c>
      <c r="C149" s="22" t="n">
        <f aca="false">C143*C80*$C$81</f>
        <v>0</v>
      </c>
      <c r="D149" s="22" t="n">
        <f aca="false">D143*D80*$C$81</f>
        <v>0</v>
      </c>
      <c r="E149" s="22" t="n">
        <f aca="false">E143*E80*$C$81</f>
        <v>0</v>
      </c>
      <c r="F149" s="22" t="n">
        <f aca="false">F143*F80*$C$81</f>
        <v>459225</v>
      </c>
      <c r="G149" s="22" t="n">
        <f aca="false">G143*G80*$C$81</f>
        <v>1517587.5</v>
      </c>
      <c r="H149" s="22" t="n">
        <f aca="false">H143*H80*$C$81</f>
        <v>3382160.25</v>
      </c>
      <c r="I149" s="22" t="n">
        <f aca="false">I143*I80*$C$81</f>
        <v>5428793.4</v>
      </c>
    </row>
    <row r="150" customFormat="false" ht="15" hidden="false" customHeight="true" outlineLevel="0" collapsed="false">
      <c r="B150" s="13" t="s">
        <v>432</v>
      </c>
      <c r="C150" s="86" t="n">
        <f aca="false">C121</f>
        <v>0</v>
      </c>
      <c r="D150" s="86" t="n">
        <f aca="false">C150*$C$125+D121</f>
        <v>0</v>
      </c>
      <c r="E150" s="86" t="n">
        <f aca="false">D150*$C$125+E121</f>
        <v>0</v>
      </c>
      <c r="F150" s="86" t="n">
        <f aca="false">E150*$C$125+F121</f>
        <v>8</v>
      </c>
      <c r="G150" s="86" t="n">
        <f aca="false">F150*$C$125+G121</f>
        <v>31</v>
      </c>
      <c r="H150" s="86" t="n">
        <f aca="false">G150*$C$125+H121</f>
        <v>68.25</v>
      </c>
      <c r="I150" s="86" t="n">
        <f aca="false">H150*$C$125+I121</f>
        <v>121.1875</v>
      </c>
    </row>
    <row r="151" customFormat="false" ht="15" hidden="false" customHeight="true" outlineLevel="0" collapsed="false">
      <c r="B151" s="13" t="s">
        <v>433</v>
      </c>
      <c r="C151" s="22" t="n">
        <f aca="false">C150*$C$124</f>
        <v>0</v>
      </c>
      <c r="D151" s="22" t="n">
        <f aca="false">D150*$C$124</f>
        <v>0</v>
      </c>
      <c r="E151" s="22" t="n">
        <f aca="false">E150*$C$124</f>
        <v>0</v>
      </c>
      <c r="F151" s="22" t="n">
        <f aca="false">F150*$C$124</f>
        <v>64000</v>
      </c>
      <c r="G151" s="22" t="n">
        <f aca="false">G150*$C$124</f>
        <v>248000</v>
      </c>
      <c r="H151" s="22" t="n">
        <f aca="false">H150*$C$124</f>
        <v>546000</v>
      </c>
      <c r="I151" s="22" t="n">
        <f aca="false">I150*$C$124</f>
        <v>969500</v>
      </c>
    </row>
    <row r="152" customFormat="false" ht="15" hidden="false" customHeight="true" outlineLevel="0" collapsed="false">
      <c r="B152" s="73" t="s">
        <v>434</v>
      </c>
      <c r="C152" s="75" t="n">
        <f aca="false">C144+C146+C148+C149+C151</f>
        <v>348750</v>
      </c>
      <c r="D152" s="75" t="n">
        <f aca="false">D144+D146+D148+D149+D151</f>
        <v>1342125</v>
      </c>
      <c r="E152" s="75" t="n">
        <f aca="false">E144+E146+E148+E149+E151</f>
        <v>3177500</v>
      </c>
      <c r="F152" s="75" t="n">
        <f aca="false">F144+F146+F148+F149+F151</f>
        <v>10188875</v>
      </c>
      <c r="G152" s="75" t="n">
        <f aca="false">G144+G146+G148+G149+G151</f>
        <v>23192222.5</v>
      </c>
      <c r="H152" s="75" t="n">
        <f aca="false">H144+H146+H148+H149+H151</f>
        <v>40601094.25</v>
      </c>
      <c r="I152" s="75" t="n">
        <f aca="false">I144+I146+I148+I149+I151</f>
        <v>60581809</v>
      </c>
    </row>
    <row r="154" customFormat="false" ht="15" hidden="false" customHeight="true" outlineLevel="0" collapsed="false">
      <c r="B154" s="4" t="s">
        <v>435</v>
      </c>
      <c r="C154" s="4"/>
      <c r="D154" s="4"/>
      <c r="E154" s="4"/>
      <c r="F154" s="4"/>
      <c r="G154" s="4"/>
      <c r="H154" s="4"/>
      <c r="I154" s="4"/>
    </row>
    <row r="156" customFormat="false" ht="15" hidden="false" customHeight="true" outlineLevel="0" collapsed="false">
      <c r="B156" s="13" t="s">
        <v>436</v>
      </c>
      <c r="C156" s="84" t="n">
        <f aca="false">'S&amp;M Build'!C26</f>
        <v>0</v>
      </c>
      <c r="D156" s="84" t="n">
        <f aca="false">'S&amp;M Build'!D26</f>
        <v>1</v>
      </c>
      <c r="E156" s="84" t="n">
        <f aca="false">'S&amp;M Build'!E26</f>
        <v>2</v>
      </c>
      <c r="F156" s="84" t="n">
        <f aca="false">'S&amp;M Build'!F26</f>
        <v>7</v>
      </c>
      <c r="G156" s="84" t="n">
        <f aca="false">'S&amp;M Build'!G26</f>
        <v>16</v>
      </c>
      <c r="H156" s="84" t="n">
        <f aca="false">'S&amp;M Build'!H26</f>
        <v>23</v>
      </c>
      <c r="I156" s="84" t="n">
        <f aca="false">'S&amp;M Build'!I26</f>
        <v>29</v>
      </c>
    </row>
    <row r="157" customFormat="false" ht="15" hidden="false" customHeight="true" outlineLevel="0" collapsed="false">
      <c r="B157" s="13" t="s">
        <v>437</v>
      </c>
      <c r="C157" s="84" t="n">
        <f aca="false">'S&amp;M Build'!C27</f>
        <v>0</v>
      </c>
      <c r="D157" s="84" t="n">
        <f aca="false">'S&amp;M Build'!D27</f>
        <v>0</v>
      </c>
      <c r="E157" s="84" t="n">
        <f aca="false">'S&amp;M Build'!E27</f>
        <v>0</v>
      </c>
      <c r="F157" s="84" t="n">
        <f aca="false">'S&amp;M Build'!F27</f>
        <v>5</v>
      </c>
      <c r="G157" s="84" t="n">
        <f aca="false">'S&amp;M Build'!G27</f>
        <v>14</v>
      </c>
      <c r="H157" s="84" t="n">
        <f aca="false">'S&amp;M Build'!H27</f>
        <v>21</v>
      </c>
      <c r="I157" s="84" t="n">
        <f aca="false">'S&amp;M Build'!I27</f>
        <v>27</v>
      </c>
    </row>
    <row r="158" customFormat="false" ht="15" hidden="false" customHeight="true" outlineLevel="0" collapsed="false">
      <c r="B158" s="13" t="s">
        <v>438</v>
      </c>
      <c r="C158" s="84" t="n">
        <f aca="false">'S&amp;M Build'!C28</f>
        <v>0</v>
      </c>
      <c r="D158" s="84" t="n">
        <f aca="false">'S&amp;M Build'!D28</f>
        <v>0</v>
      </c>
      <c r="E158" s="84" t="n">
        <f aca="false">'S&amp;M Build'!E28</f>
        <v>0</v>
      </c>
      <c r="F158" s="84" t="n">
        <f aca="false">'S&amp;M Build'!F28</f>
        <v>1</v>
      </c>
      <c r="G158" s="84" t="n">
        <f aca="false">'S&amp;M Build'!G28</f>
        <v>1</v>
      </c>
      <c r="H158" s="84" t="n">
        <f aca="false">'S&amp;M Build'!H28</f>
        <v>1</v>
      </c>
      <c r="I158" s="84" t="n">
        <f aca="false">'S&amp;M Build'!I28</f>
        <v>1</v>
      </c>
    </row>
    <row r="159" customFormat="false" ht="15" hidden="false" customHeight="true" outlineLevel="0" collapsed="false">
      <c r="B159" s="13" t="s">
        <v>439</v>
      </c>
      <c r="C159" s="86" t="n">
        <f aca="false">C25+C156*$C$18+C157*$C$19+C158*$C$20</f>
        <v>10</v>
      </c>
      <c r="D159" s="86" t="n">
        <f aca="false">D25+D156*$C$18+D157*$C$19+D158*$C$20</f>
        <v>23</v>
      </c>
      <c r="E159" s="86" t="n">
        <f aca="false">E25+E156*$C$18+E157*$C$19+E158*$C$20</f>
        <v>36</v>
      </c>
      <c r="F159" s="86" t="n">
        <f aca="false">F25+F156*$C$18+F157*$C$19+F158*$C$20</f>
        <v>137</v>
      </c>
      <c r="G159" s="86" t="n">
        <f aca="false">G25+G156*$C$18+G157*$C$19+G158*$C$20</f>
        <v>316</v>
      </c>
      <c r="H159" s="86" t="n">
        <f aca="false">H25+H156*$C$18+H157*$C$19+H158*$C$20</f>
        <v>455</v>
      </c>
      <c r="I159" s="86" t="n">
        <f aca="false">I25+I156*$C$18+I157*$C$19+I158*$C$20</f>
        <v>575</v>
      </c>
    </row>
    <row r="160" customFormat="false" ht="15" hidden="false" customHeight="true" outlineLevel="0" collapsed="false">
      <c r="B160" s="32" t="s">
        <v>440</v>
      </c>
      <c r="C160" s="49" t="n">
        <f aca="false">$C$21</f>
        <v>1</v>
      </c>
      <c r="D160" s="49" t="n">
        <f aca="false">$C$21</f>
        <v>1</v>
      </c>
      <c r="E160" s="49" t="n">
        <f aca="false">$C$21</f>
        <v>1</v>
      </c>
      <c r="F160" s="49" t="n">
        <f aca="false">$C$22</f>
        <v>0.9</v>
      </c>
      <c r="G160" s="49" t="n">
        <f aca="false">$C$22</f>
        <v>0.9</v>
      </c>
      <c r="H160" s="49" t="n">
        <f aca="false">$C$22</f>
        <v>0.9</v>
      </c>
      <c r="I160" s="49" t="n">
        <f aca="false">$C$22</f>
        <v>0.9</v>
      </c>
    </row>
    <row r="161" customFormat="false" ht="15" hidden="false" customHeight="true" outlineLevel="0" collapsed="false">
      <c r="B161" s="13" t="s">
        <v>441</v>
      </c>
      <c r="C161" s="86" t="n">
        <v>0</v>
      </c>
      <c r="D161" s="86" t="n">
        <f aca="false">C164</f>
        <v>10</v>
      </c>
      <c r="E161" s="86" t="n">
        <f aca="false">D164</f>
        <v>33</v>
      </c>
      <c r="F161" s="86" t="n">
        <f aca="false">E164</f>
        <v>69</v>
      </c>
      <c r="G161" s="86" t="n">
        <f aca="false">F164</f>
        <v>199.1</v>
      </c>
      <c r="H161" s="86" t="n">
        <f aca="false">G164</f>
        <v>495.19</v>
      </c>
      <c r="I161" s="86" t="n">
        <f aca="false">H164</f>
        <v>900.671</v>
      </c>
    </row>
    <row r="162" customFormat="false" ht="15" hidden="false" customHeight="true" outlineLevel="0" collapsed="false">
      <c r="B162" s="13" t="s">
        <v>442</v>
      </c>
      <c r="C162" s="86" t="n">
        <f aca="false">C161*C160</f>
        <v>0</v>
      </c>
      <c r="D162" s="86" t="n">
        <f aca="false">D161*D160</f>
        <v>10</v>
      </c>
      <c r="E162" s="86" t="n">
        <f aca="false">E161*E160</f>
        <v>33</v>
      </c>
      <c r="F162" s="86" t="n">
        <f aca="false">F161*F160</f>
        <v>62.1</v>
      </c>
      <c r="G162" s="86" t="n">
        <f aca="false">G161*G160</f>
        <v>179.19</v>
      </c>
      <c r="H162" s="86" t="n">
        <f aca="false">H161*H160</f>
        <v>445.671</v>
      </c>
      <c r="I162" s="86" t="n">
        <f aca="false">I161*I160</f>
        <v>810.6039</v>
      </c>
    </row>
    <row r="163" customFormat="false" ht="15" hidden="false" customHeight="true" outlineLevel="0" collapsed="false">
      <c r="B163" s="13" t="s">
        <v>443</v>
      </c>
      <c r="C163" s="86" t="n">
        <f aca="false">C159</f>
        <v>10</v>
      </c>
      <c r="D163" s="86" t="n">
        <f aca="false">D159</f>
        <v>23</v>
      </c>
      <c r="E163" s="86" t="n">
        <f aca="false">E159</f>
        <v>36</v>
      </c>
      <c r="F163" s="86" t="n">
        <f aca="false">F159</f>
        <v>137</v>
      </c>
      <c r="G163" s="86" t="n">
        <f aca="false">G159</f>
        <v>316</v>
      </c>
      <c r="H163" s="86" t="n">
        <f aca="false">H159</f>
        <v>455</v>
      </c>
      <c r="I163" s="86" t="n">
        <f aca="false">I159</f>
        <v>575</v>
      </c>
    </row>
    <row r="164" customFormat="false" ht="15" hidden="false" customHeight="true" outlineLevel="0" collapsed="false">
      <c r="B164" s="5" t="s">
        <v>444</v>
      </c>
      <c r="C164" s="88" t="n">
        <f aca="false">C162+C163</f>
        <v>10</v>
      </c>
      <c r="D164" s="88" t="n">
        <f aca="false">D162+D163</f>
        <v>33</v>
      </c>
      <c r="E164" s="88" t="n">
        <f aca="false">E162+E163</f>
        <v>69</v>
      </c>
      <c r="F164" s="88" t="n">
        <f aca="false">F162+F163</f>
        <v>199.1</v>
      </c>
      <c r="G164" s="88" t="n">
        <f aca="false">G162+G163</f>
        <v>495.19</v>
      </c>
      <c r="H164" s="88" t="n">
        <f aca="false">H162+H163</f>
        <v>900.671</v>
      </c>
      <c r="I164" s="88" t="n">
        <f aca="false">I162+I163</f>
        <v>1385.6039</v>
      </c>
    </row>
    <row r="165" customFormat="false" ht="15" hidden="false" customHeight="true" outlineLevel="0" collapsed="false">
      <c r="B165" s="13" t="s">
        <v>445</v>
      </c>
      <c r="C165" s="22" t="n">
        <f aca="false">C162*$C$10+C163*$C$8*$C$16</f>
        <v>348750</v>
      </c>
      <c r="D165" s="22" t="n">
        <f aca="false">D162*$C$10+D163*$C$8*$C$16</f>
        <v>1342125</v>
      </c>
      <c r="E165" s="22" t="n">
        <f aca="false">E162*$C$10+E163*$C$8*$C$16</f>
        <v>3037500</v>
      </c>
      <c r="F165" s="22" t="n">
        <f aca="false">F162*$C$10+F163*$C$8*$C$16</f>
        <v>8131275</v>
      </c>
      <c r="G165" s="22" t="n">
        <f aca="false">G162*$C$10+G163*$C$8*$C$16</f>
        <v>20696760</v>
      </c>
      <c r="H165" s="22" t="n">
        <f aca="false">H162*$C$10+H163*$C$8*$C$16</f>
        <v>39934359</v>
      </c>
      <c r="I165" s="22" t="n">
        <f aca="false">I162*$C$10+I163*$C$8*$C$16</f>
        <v>63825735.6</v>
      </c>
    </row>
    <row r="166" customFormat="false" ht="15" hidden="false" customHeight="true" outlineLevel="0" collapsed="false">
      <c r="B166" s="13" t="s">
        <v>446</v>
      </c>
      <c r="C166" s="86" t="n">
        <f aca="false">C65</f>
        <v>0</v>
      </c>
      <c r="D166" s="86" t="n">
        <f aca="false">C166+D65</f>
        <v>0</v>
      </c>
      <c r="E166" s="86" t="n">
        <f aca="false">D166+E65</f>
        <v>0</v>
      </c>
      <c r="F166" s="86" t="n">
        <f aca="false">E166+F65</f>
        <v>3</v>
      </c>
      <c r="G166" s="86" t="n">
        <f aca="false">F166+G65</f>
        <v>12</v>
      </c>
      <c r="H166" s="86" t="n">
        <f aca="false">G166+H65</f>
        <v>25</v>
      </c>
      <c r="I166" s="86" t="n">
        <f aca="false">H166+I65</f>
        <v>41</v>
      </c>
    </row>
    <row r="167" customFormat="false" ht="15" hidden="false" customHeight="true" outlineLevel="0" collapsed="false">
      <c r="B167" s="13" t="s">
        <v>447</v>
      </c>
      <c r="C167" s="22" t="n">
        <f aca="false">C166*$C$67</f>
        <v>0</v>
      </c>
      <c r="D167" s="22" t="n">
        <f aca="false">D166*$C$67</f>
        <v>0</v>
      </c>
      <c r="E167" s="22" t="n">
        <f aca="false">E166*$C$67</f>
        <v>0</v>
      </c>
      <c r="F167" s="22" t="n">
        <f aca="false">F166*$C$67</f>
        <v>660000</v>
      </c>
      <c r="G167" s="22" t="n">
        <f aca="false">G166*$C$67</f>
        <v>2640000</v>
      </c>
      <c r="H167" s="22" t="n">
        <f aca="false">H166*$C$67</f>
        <v>5500000</v>
      </c>
      <c r="I167" s="22" t="n">
        <f aca="false">I166*$C$67</f>
        <v>9020000</v>
      </c>
    </row>
    <row r="168" customFormat="false" ht="15" hidden="false" customHeight="true" outlineLevel="0" collapsed="false">
      <c r="B168" s="13" t="s">
        <v>448</v>
      </c>
      <c r="C168" s="86" t="n">
        <f aca="false">C74</f>
        <v>0</v>
      </c>
      <c r="D168" s="86" t="n">
        <f aca="false">C168+D74</f>
        <v>0</v>
      </c>
      <c r="E168" s="86" t="n">
        <f aca="false">D168+E74</f>
        <v>1</v>
      </c>
      <c r="F168" s="86" t="n">
        <f aca="false">E168+F74</f>
        <v>5</v>
      </c>
      <c r="G168" s="86" t="n">
        <f aca="false">F168+G74</f>
        <v>17</v>
      </c>
      <c r="H168" s="86" t="n">
        <f aca="false">G168+H74</f>
        <v>35</v>
      </c>
      <c r="I168" s="86" t="n">
        <f aca="false">H168+I74</f>
        <v>59</v>
      </c>
    </row>
    <row r="169" customFormat="false" ht="15" hidden="false" customHeight="true" outlineLevel="0" collapsed="false">
      <c r="B169" s="13" t="s">
        <v>449</v>
      </c>
      <c r="C169" s="22" t="n">
        <f aca="false">C168*$C$76</f>
        <v>0</v>
      </c>
      <c r="D169" s="22" t="n">
        <f aca="false">D168*$C$76</f>
        <v>0</v>
      </c>
      <c r="E169" s="22" t="n">
        <f aca="false">E168*$C$76</f>
        <v>140000</v>
      </c>
      <c r="F169" s="22" t="n">
        <f aca="false">F168*$C$76</f>
        <v>700000</v>
      </c>
      <c r="G169" s="22" t="n">
        <f aca="false">G168*$C$76</f>
        <v>2380000</v>
      </c>
      <c r="H169" s="22" t="n">
        <f aca="false">H168*$C$76</f>
        <v>4900000</v>
      </c>
      <c r="I169" s="22" t="n">
        <f aca="false">I168*$C$76</f>
        <v>8260000</v>
      </c>
    </row>
    <row r="170" customFormat="false" ht="15" hidden="false" customHeight="true" outlineLevel="0" collapsed="false">
      <c r="B170" s="13" t="s">
        <v>450</v>
      </c>
      <c r="C170" s="22" t="n">
        <f aca="false">C164*C80*$C$81</f>
        <v>0</v>
      </c>
      <c r="D170" s="22" t="n">
        <f aca="false">D164*D80*$C$81</f>
        <v>0</v>
      </c>
      <c r="E170" s="22" t="n">
        <f aca="false">E164*E80*$C$81</f>
        <v>0</v>
      </c>
      <c r="F170" s="22" t="n">
        <f aca="false">F164*F80*$C$81</f>
        <v>447975</v>
      </c>
      <c r="G170" s="22" t="n">
        <f aca="false">G164*G80*$C$81</f>
        <v>1856962.5</v>
      </c>
      <c r="H170" s="22" t="n">
        <f aca="false">H164*H80*$C$81</f>
        <v>4728522.75</v>
      </c>
      <c r="I170" s="22" t="n">
        <f aca="false">I164*I80*$C$81</f>
        <v>8313623.4</v>
      </c>
    </row>
    <row r="171" customFormat="false" ht="15" hidden="false" customHeight="true" outlineLevel="0" collapsed="false">
      <c r="B171" s="13" t="s">
        <v>451</v>
      </c>
      <c r="C171" s="86" t="n">
        <f aca="false">C122</f>
        <v>0</v>
      </c>
      <c r="D171" s="86" t="n">
        <f aca="false">C171*$C$125+D122</f>
        <v>0</v>
      </c>
      <c r="E171" s="86" t="n">
        <f aca="false">D171*$C$125+E122</f>
        <v>0</v>
      </c>
      <c r="F171" s="86" t="n">
        <f aca="false">E171*$C$125+F122</f>
        <v>10</v>
      </c>
      <c r="G171" s="86" t="n">
        <f aca="false">F171*$C$125+G122</f>
        <v>47.5</v>
      </c>
      <c r="H171" s="86" t="n">
        <f aca="false">G171*$C$125+H122</f>
        <v>120.625</v>
      </c>
      <c r="I171" s="86" t="n">
        <f aca="false">H171*$C$125+I122</f>
        <v>240.46875</v>
      </c>
    </row>
    <row r="172" customFormat="false" ht="15" hidden="false" customHeight="true" outlineLevel="0" collapsed="false">
      <c r="B172" s="13" t="s">
        <v>452</v>
      </c>
      <c r="C172" s="22" t="n">
        <f aca="false">C171*$C$124</f>
        <v>0</v>
      </c>
      <c r="D172" s="22" t="n">
        <f aca="false">D171*$C$124</f>
        <v>0</v>
      </c>
      <c r="E172" s="22" t="n">
        <f aca="false">E171*$C$124</f>
        <v>0</v>
      </c>
      <c r="F172" s="22" t="n">
        <f aca="false">F171*$C$124</f>
        <v>80000</v>
      </c>
      <c r="G172" s="22" t="n">
        <f aca="false">G171*$C$124</f>
        <v>380000</v>
      </c>
      <c r="H172" s="22" t="n">
        <f aca="false">H171*$C$124</f>
        <v>965000</v>
      </c>
      <c r="I172" s="22" t="n">
        <f aca="false">I171*$C$124</f>
        <v>1923750</v>
      </c>
    </row>
    <row r="173" customFormat="false" ht="15" hidden="false" customHeight="true" outlineLevel="0" collapsed="false">
      <c r="B173" s="73" t="s">
        <v>453</v>
      </c>
      <c r="C173" s="75" t="n">
        <f aca="false">C165+C167+C169+C170+C172</f>
        <v>348750</v>
      </c>
      <c r="D173" s="75" t="n">
        <f aca="false">D165+D167+D169+D170+D172</f>
        <v>1342125</v>
      </c>
      <c r="E173" s="75" t="n">
        <f aca="false">E165+E167+E169+E170+E172</f>
        <v>3177500</v>
      </c>
      <c r="F173" s="75" t="n">
        <f aca="false">F165+F167+F169+F170+F172</f>
        <v>10019250</v>
      </c>
      <c r="G173" s="75" t="n">
        <f aca="false">G165+G167+G169+G170+G172</f>
        <v>27953722.5</v>
      </c>
      <c r="H173" s="75" t="n">
        <f aca="false">H165+H167+H169+H170+H172</f>
        <v>56027881.75</v>
      </c>
      <c r="I173" s="75" t="n">
        <f aca="false">I165+I167+I169+I170+I172</f>
        <v>91343109</v>
      </c>
    </row>
  </sheetData>
  <mergeCells count="17">
    <mergeCell ref="B1:I1"/>
    <mergeCell ref="B2:I2"/>
    <mergeCell ref="B6:I6"/>
    <mergeCell ref="B24:I24"/>
    <mergeCell ref="B31:I31"/>
    <mergeCell ref="B43:I43"/>
    <mergeCell ref="B49:I49"/>
    <mergeCell ref="B59:I59"/>
    <mergeCell ref="B60:I60"/>
    <mergeCell ref="B84:I84"/>
    <mergeCell ref="B91:I91"/>
    <mergeCell ref="B98:I98"/>
    <mergeCell ref="B99:I99"/>
    <mergeCell ref="B117:I117"/>
    <mergeCell ref="B118:I118"/>
    <mergeCell ref="B133:I133"/>
    <mergeCell ref="B154:I1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9" min="3" style="1" width="11"/>
  </cols>
  <sheetData>
    <row r="1" customFormat="false" ht="19.5" hidden="false" customHeight="true" outlineLevel="0" collapsed="false">
      <c r="B1" s="2" t="s">
        <v>454</v>
      </c>
      <c r="C1" s="2"/>
      <c r="D1" s="2"/>
      <c r="E1" s="2"/>
      <c r="F1" s="2"/>
      <c r="G1" s="2"/>
      <c r="H1" s="2"/>
      <c r="I1" s="2"/>
    </row>
    <row r="2" customFormat="false" ht="15" hidden="false" customHeight="true" outlineLevel="0" collapsed="false">
      <c r="B2" s="29" t="s">
        <v>455</v>
      </c>
      <c r="C2" s="29"/>
      <c r="D2" s="29"/>
      <c r="E2" s="29"/>
      <c r="F2" s="29"/>
      <c r="G2" s="29"/>
      <c r="H2" s="29"/>
      <c r="I2" s="29"/>
    </row>
    <row r="4" customFormat="false" ht="15" hidden="false" customHeight="true" outlineLevel="0" collapsed="false">
      <c r="B4" s="11"/>
      <c r="C4" s="12" t="s">
        <v>13</v>
      </c>
      <c r="D4" s="12" t="s">
        <v>14</v>
      </c>
      <c r="E4" s="12" t="s">
        <v>15</v>
      </c>
      <c r="F4" s="12" t="s">
        <v>16</v>
      </c>
      <c r="G4" s="12" t="s">
        <v>17</v>
      </c>
      <c r="H4" s="12" t="s">
        <v>18</v>
      </c>
      <c r="I4" s="12" t="s">
        <v>19</v>
      </c>
    </row>
    <row r="5" customFormat="false" ht="15" hidden="false" customHeight="true" outlineLevel="0" collapsed="false">
      <c r="B5" s="4" t="s">
        <v>456</v>
      </c>
      <c r="C5" s="4"/>
      <c r="D5" s="4"/>
      <c r="E5" s="4"/>
      <c r="F5" s="4"/>
      <c r="G5" s="4"/>
      <c r="H5" s="4"/>
      <c r="I5" s="4"/>
    </row>
    <row r="6" customFormat="false" ht="15" hidden="false" customHeight="true" outlineLevel="0" collapsed="false">
      <c r="B6" s="13" t="s">
        <v>457</v>
      </c>
      <c r="C6" s="93" t="n">
        <v>1</v>
      </c>
      <c r="D6" s="93" t="n">
        <v>1</v>
      </c>
      <c r="E6" s="93" t="n">
        <v>1</v>
      </c>
      <c r="F6" s="93" t="n">
        <v>1</v>
      </c>
      <c r="G6" s="93" t="n">
        <v>1</v>
      </c>
      <c r="H6" s="93" t="n">
        <v>1</v>
      </c>
      <c r="I6" s="93" t="n">
        <v>1</v>
      </c>
    </row>
    <row r="7" customFormat="false" ht="15" hidden="false" customHeight="true" outlineLevel="0" collapsed="false">
      <c r="B7" s="13" t="s">
        <v>458</v>
      </c>
      <c r="C7" s="14" t="n">
        <f aca="false">CHOOSE(Control!$C$8,'G&amp;A &amp; Exec Comp Build'!C6,'G&amp;A &amp; Exec Comp Build'!C7,'G&amp;A &amp; Exec Comp Build'!C8)</f>
        <v>250000</v>
      </c>
      <c r="D7" s="14" t="n">
        <f aca="false">CHOOSE(Control!$C$8,'G&amp;A &amp; Exec Comp Build'!D6,'G&amp;A &amp; Exec Comp Build'!D7,'G&amp;A &amp; Exec Comp Build'!D8)</f>
        <v>275000</v>
      </c>
      <c r="E7" s="14" t="n">
        <f aca="false">CHOOSE(Control!$C$8,'G&amp;A &amp; Exec Comp Build'!E6,'G&amp;A &amp; Exec Comp Build'!E7,'G&amp;A &amp; Exec Comp Build'!E8)</f>
        <v>300000</v>
      </c>
      <c r="F7" s="14" t="n">
        <f aca="false">CHOOSE(Control!$C$8,'G&amp;A &amp; Exec Comp Build'!F6,'G&amp;A &amp; Exec Comp Build'!F7,'G&amp;A &amp; Exec Comp Build'!F8)</f>
        <v>300000</v>
      </c>
      <c r="G7" s="14" t="n">
        <f aca="false">CHOOSE(Control!$C$8,'G&amp;A &amp; Exec Comp Build'!G6,'G&amp;A &amp; Exec Comp Build'!G7,'G&amp;A &amp; Exec Comp Build'!G8)</f>
        <v>300000</v>
      </c>
      <c r="H7" s="14" t="n">
        <f aca="false">CHOOSE(Control!$C$8,'G&amp;A &amp; Exec Comp Build'!H6,'G&amp;A &amp; Exec Comp Build'!H7,'G&amp;A &amp; Exec Comp Build'!H8)</f>
        <v>300000</v>
      </c>
      <c r="I7" s="14" t="n">
        <f aca="false">CHOOSE(Control!$C$8,'G&amp;A &amp; Exec Comp Build'!I6,'G&amp;A &amp; Exec Comp Build'!I7,'G&amp;A &amp; Exec Comp Build'!I8)</f>
        <v>300000</v>
      </c>
    </row>
    <row r="8" customFormat="false" ht="15" hidden="false" customHeight="true" outlineLevel="0" collapsed="false">
      <c r="B8" s="13" t="s">
        <v>459</v>
      </c>
      <c r="C8" s="93" t="n">
        <v>1</v>
      </c>
      <c r="D8" s="93" t="n">
        <v>1</v>
      </c>
      <c r="E8" s="93" t="n">
        <v>1</v>
      </c>
      <c r="F8" s="93" t="n">
        <v>1</v>
      </c>
      <c r="G8" s="93" t="n">
        <v>1</v>
      </c>
      <c r="H8" s="93" t="n">
        <v>1</v>
      </c>
      <c r="I8" s="93" t="n">
        <v>1</v>
      </c>
    </row>
    <row r="9" customFormat="false" ht="15" hidden="false" customHeight="true" outlineLevel="0" collapsed="false">
      <c r="B9" s="13" t="s">
        <v>458</v>
      </c>
      <c r="C9" s="14" t="n">
        <f aca="false">'G&amp;A &amp; Exec Comp Build'!C29</f>
        <v>65000</v>
      </c>
      <c r="D9" s="14" t="n">
        <f aca="false">'G&amp;A &amp; Exec Comp Build'!D29</f>
        <v>70000</v>
      </c>
      <c r="E9" s="14" t="n">
        <f aca="false">'G&amp;A &amp; Exec Comp Build'!E29</f>
        <v>73000</v>
      </c>
      <c r="F9" s="14" t="n">
        <f aca="false">'G&amp;A &amp; Exec Comp Build'!F29</f>
        <v>76000</v>
      </c>
      <c r="G9" s="14" t="n">
        <f aca="false">'G&amp;A &amp; Exec Comp Build'!G29</f>
        <v>80000</v>
      </c>
      <c r="H9" s="14" t="n">
        <f aca="false">'G&amp;A &amp; Exec Comp Build'!H29</f>
        <v>84000</v>
      </c>
      <c r="I9" s="14" t="n">
        <f aca="false">'G&amp;A &amp; Exec Comp Build'!I29</f>
        <v>88000</v>
      </c>
    </row>
    <row r="10" customFormat="false" ht="15" hidden="false" customHeight="true" outlineLevel="0" collapsed="false">
      <c r="B10" s="13" t="s">
        <v>460</v>
      </c>
      <c r="C10" s="84" t="n">
        <f aca="false">IF(AND(Control!$C$8&gt;1,'G&amp;A &amp; Exec Comp Build'!C15+'G&amp;A &amp; Exec Comp Build'!C16&gt;0),1,0)</f>
        <v>0</v>
      </c>
      <c r="D10" s="84" t="n">
        <f aca="false">IF(AND(Control!$C$8&gt;1,'G&amp;A &amp; Exec Comp Build'!D15+'G&amp;A &amp; Exec Comp Build'!D16&gt;0),1,0)</f>
        <v>0</v>
      </c>
      <c r="E10" s="84" t="n">
        <f aca="false">IF(AND(Control!$C$8&gt;1,'G&amp;A &amp; Exec Comp Build'!E15+'G&amp;A &amp; Exec Comp Build'!E16&gt;0),1,0)</f>
        <v>0</v>
      </c>
      <c r="F10" s="84" t="n">
        <f aca="false">IF(AND(Control!$C$8&gt;1,'G&amp;A &amp; Exec Comp Build'!F15+'G&amp;A &amp; Exec Comp Build'!F16&gt;0),1,0)</f>
        <v>0</v>
      </c>
      <c r="G10" s="84" t="n">
        <f aca="false">IF(AND(Control!$C$8&gt;1,'G&amp;A &amp; Exec Comp Build'!G15+'G&amp;A &amp; Exec Comp Build'!G16&gt;0),1,0)</f>
        <v>1</v>
      </c>
      <c r="H10" s="84" t="n">
        <f aca="false">IF(AND(Control!$C$8&gt;1,'G&amp;A &amp; Exec Comp Build'!H15+'G&amp;A &amp; Exec Comp Build'!H16&gt;0),1,0)</f>
        <v>1</v>
      </c>
      <c r="I10" s="84" t="n">
        <f aca="false">IF(AND(Control!$C$8&gt;1,'G&amp;A &amp; Exec Comp Build'!I15+'G&amp;A &amp; Exec Comp Build'!I16&gt;0),1,0)</f>
        <v>1</v>
      </c>
    </row>
    <row r="11" customFormat="false" ht="15" hidden="false" customHeight="true" outlineLevel="0" collapsed="false">
      <c r="B11" s="13" t="s">
        <v>458</v>
      </c>
      <c r="C11" s="14" t="n">
        <f aca="false">IF(Control!$C$8=3,'G&amp;A &amp; Exec Comp Build'!C16,'G&amp;A &amp; Exec Comp Build'!C15)</f>
        <v>0</v>
      </c>
      <c r="D11" s="14" t="n">
        <f aca="false">IF(Control!$C$8=3,'G&amp;A &amp; Exec Comp Build'!D16,'G&amp;A &amp; Exec Comp Build'!D15)</f>
        <v>0</v>
      </c>
      <c r="E11" s="14" t="n">
        <f aca="false">IF(Control!$C$8=3,'G&amp;A &amp; Exec Comp Build'!E16,'G&amp;A &amp; Exec Comp Build'!E15)</f>
        <v>0</v>
      </c>
      <c r="F11" s="14" t="n">
        <f aca="false">IF(Control!$C$8=3,'G&amp;A &amp; Exec Comp Build'!F16,'G&amp;A &amp; Exec Comp Build'!F15)</f>
        <v>0</v>
      </c>
      <c r="G11" s="14" t="n">
        <f aca="false">IF(Control!$C$8=3,'G&amp;A &amp; Exec Comp Build'!G16,'G&amp;A &amp; Exec Comp Build'!G15)</f>
        <v>230000</v>
      </c>
      <c r="H11" s="14" t="n">
        <f aca="false">IF(Control!$C$8=3,'G&amp;A &amp; Exec Comp Build'!H16,'G&amp;A &amp; Exec Comp Build'!H15)</f>
        <v>245000</v>
      </c>
      <c r="I11" s="14" t="n">
        <f aca="false">IF(Control!$C$8=3,'G&amp;A &amp; Exec Comp Build'!I16,'G&amp;A &amp; Exec Comp Build'!I15)</f>
        <v>260000</v>
      </c>
    </row>
    <row r="12" customFormat="false" ht="15" hidden="false" customHeight="true" outlineLevel="0" collapsed="false">
      <c r="B12" s="13" t="s">
        <v>461</v>
      </c>
      <c r="C12" s="84" t="n">
        <f aca="false">'COGS &amp; Overhead Build'!C57</f>
        <v>0</v>
      </c>
      <c r="D12" s="84" t="n">
        <f aca="false">'COGS &amp; Overhead Build'!D57</f>
        <v>0</v>
      </c>
      <c r="E12" s="84" t="n">
        <f aca="false">'COGS &amp; Overhead Build'!E57</f>
        <v>6</v>
      </c>
      <c r="F12" s="84" t="n">
        <f aca="false">'COGS &amp; Overhead Build'!F57</f>
        <v>15</v>
      </c>
      <c r="G12" s="84" t="n">
        <f aca="false">'COGS &amp; Overhead Build'!G57</f>
        <v>26</v>
      </c>
      <c r="H12" s="84" t="n">
        <f aca="false">'COGS &amp; Overhead Build'!H57</f>
        <v>36</v>
      </c>
      <c r="I12" s="84" t="n">
        <f aca="false">'COGS &amp; Overhead Build'!I57</f>
        <v>46</v>
      </c>
    </row>
    <row r="13" customFormat="false" ht="15" hidden="false" customHeight="true" outlineLevel="0" collapsed="false">
      <c r="B13" s="4" t="s">
        <v>462</v>
      </c>
      <c r="C13" s="4"/>
      <c r="D13" s="4"/>
      <c r="E13" s="4"/>
      <c r="F13" s="4"/>
      <c r="G13" s="4"/>
      <c r="H13" s="4"/>
      <c r="I13" s="4"/>
    </row>
    <row r="14" customFormat="false" ht="15" hidden="false" customHeight="true" outlineLevel="0" collapsed="false">
      <c r="B14" s="13" t="s">
        <v>463</v>
      </c>
      <c r="C14" s="84" t="n">
        <f aca="false">CHOOSE(Control!$C$8,'S&amp;M Build'!C12,'S&amp;M Build'!C19,'S&amp;M Build'!C26)</f>
        <v>0</v>
      </c>
      <c r="D14" s="84" t="n">
        <f aca="false">CHOOSE(Control!$C$8,'S&amp;M Build'!D12,'S&amp;M Build'!D19,'S&amp;M Build'!D26)</f>
        <v>1</v>
      </c>
      <c r="E14" s="84" t="n">
        <f aca="false">CHOOSE(Control!$C$8,'S&amp;M Build'!E12,'S&amp;M Build'!E19,'S&amp;M Build'!E26)</f>
        <v>2</v>
      </c>
      <c r="F14" s="84" t="n">
        <f aca="false">CHOOSE(Control!$C$8,'S&amp;M Build'!F12,'S&amp;M Build'!F19,'S&amp;M Build'!F26)</f>
        <v>7</v>
      </c>
      <c r="G14" s="84" t="n">
        <f aca="false">CHOOSE(Control!$C$8,'S&amp;M Build'!G12,'S&amp;M Build'!G19,'S&amp;M Build'!G26)</f>
        <v>11</v>
      </c>
      <c r="H14" s="84" t="n">
        <f aca="false">CHOOSE(Control!$C$8,'S&amp;M Build'!H12,'S&amp;M Build'!H19,'S&amp;M Build'!H26)</f>
        <v>14</v>
      </c>
      <c r="I14" s="84" t="n">
        <f aca="false">CHOOSE(Control!$C$8,'S&amp;M Build'!I12,'S&amp;M Build'!I19,'S&amp;M Build'!I26)</f>
        <v>16</v>
      </c>
    </row>
    <row r="15" customFormat="false" ht="15" hidden="false" customHeight="true" outlineLevel="0" collapsed="false">
      <c r="B15" s="13" t="s">
        <v>464</v>
      </c>
      <c r="C15" s="84" t="n">
        <f aca="false">CHOOSE(Control!$C$8,'S&amp;M Build'!C13,'S&amp;M Build'!C20,'S&amp;M Build'!C27)</f>
        <v>0</v>
      </c>
      <c r="D15" s="84" t="n">
        <f aca="false">CHOOSE(Control!$C$8,'S&amp;M Build'!D13,'S&amp;M Build'!D20,'S&amp;M Build'!D27)</f>
        <v>0</v>
      </c>
      <c r="E15" s="84" t="n">
        <f aca="false">CHOOSE(Control!$C$8,'S&amp;M Build'!E13,'S&amp;M Build'!E20,'S&amp;M Build'!E27)</f>
        <v>0</v>
      </c>
      <c r="F15" s="84" t="n">
        <f aca="false">CHOOSE(Control!$C$8,'S&amp;M Build'!F13,'S&amp;M Build'!F20,'S&amp;M Build'!F27)</f>
        <v>6</v>
      </c>
      <c r="G15" s="84" t="n">
        <f aca="false">CHOOSE(Control!$C$8,'S&amp;M Build'!G13,'S&amp;M Build'!G20,'S&amp;M Build'!G27)</f>
        <v>10</v>
      </c>
      <c r="H15" s="84" t="n">
        <f aca="false">CHOOSE(Control!$C$8,'S&amp;M Build'!H13,'S&amp;M Build'!H20,'S&amp;M Build'!H27)</f>
        <v>13</v>
      </c>
      <c r="I15" s="84" t="n">
        <f aca="false">CHOOSE(Control!$C$8,'S&amp;M Build'!I13,'S&amp;M Build'!I20,'S&amp;M Build'!I27)</f>
        <v>16</v>
      </c>
    </row>
    <row r="16" customFormat="false" ht="15" hidden="false" customHeight="true" outlineLevel="0" collapsed="false">
      <c r="B16" s="13" t="s">
        <v>465</v>
      </c>
      <c r="C16" s="84" t="n">
        <f aca="false">CHOOSE(Control!$C$8,'S&amp;M Build'!C14,'S&amp;M Build'!C21,'S&amp;M Build'!C28)</f>
        <v>0</v>
      </c>
      <c r="D16" s="84" t="n">
        <f aca="false">CHOOSE(Control!$C$8,'S&amp;M Build'!D14,'S&amp;M Build'!D21,'S&amp;M Build'!D28)</f>
        <v>0</v>
      </c>
      <c r="E16" s="84" t="n">
        <f aca="false">CHOOSE(Control!$C$8,'S&amp;M Build'!E14,'S&amp;M Build'!E21,'S&amp;M Build'!E28)</f>
        <v>0</v>
      </c>
      <c r="F16" s="84" t="n">
        <f aca="false">CHOOSE(Control!$C$8,'S&amp;M Build'!F14,'S&amp;M Build'!F21,'S&amp;M Build'!F28)</f>
        <v>1</v>
      </c>
      <c r="G16" s="84" t="n">
        <f aca="false">CHOOSE(Control!$C$8,'S&amp;M Build'!G14,'S&amp;M Build'!G21,'S&amp;M Build'!G28)</f>
        <v>1</v>
      </c>
      <c r="H16" s="84" t="n">
        <f aca="false">CHOOSE(Control!$C$8,'S&amp;M Build'!H14,'S&amp;M Build'!H21,'S&amp;M Build'!H28)</f>
        <v>1</v>
      </c>
      <c r="I16" s="84" t="n">
        <f aca="false">CHOOSE(Control!$C$8,'S&amp;M Build'!I14,'S&amp;M Build'!I21,'S&amp;M Build'!I28)</f>
        <v>1</v>
      </c>
    </row>
    <row r="17" customFormat="false" ht="15" hidden="false" customHeight="true" outlineLevel="0" collapsed="false">
      <c r="B17" s="13" t="s">
        <v>466</v>
      </c>
      <c r="C17" s="22" t="n">
        <f aca="false">C14*'S&amp;M Build'!$C$5+C15*'S&amp;M Build'!$C$6+C16*'S&amp;M Build'!$C$7</f>
        <v>0</v>
      </c>
      <c r="D17" s="22" t="n">
        <f aca="false">D14*'S&amp;M Build'!$C$5+D15*'S&amp;M Build'!$C$6+D16*'S&amp;M Build'!$C$7</f>
        <v>150000</v>
      </c>
      <c r="E17" s="22" t="n">
        <f aca="false">E14*'S&amp;M Build'!$C$5+E15*'S&amp;M Build'!$C$6+E16*'S&amp;M Build'!$C$7</f>
        <v>300000</v>
      </c>
      <c r="F17" s="22" t="n">
        <f aca="false">F14*'S&amp;M Build'!$C$5+F15*'S&amp;M Build'!$C$6+F16*'S&amp;M Build'!$C$7</f>
        <v>2420000</v>
      </c>
      <c r="G17" s="22" t="n">
        <f aca="false">G14*'S&amp;M Build'!$C$5+G15*'S&amp;M Build'!$C$6+G16*'S&amp;M Build'!$C$7</f>
        <v>3760000</v>
      </c>
      <c r="H17" s="22" t="n">
        <f aca="false">H14*'S&amp;M Build'!$C$5+H15*'S&amp;M Build'!$C$6+H16*'S&amp;M Build'!$C$7</f>
        <v>4765000</v>
      </c>
      <c r="I17" s="22" t="n">
        <f aca="false">I14*'S&amp;M Build'!$C$5+I15*'S&amp;M Build'!$C$6+I16*'S&amp;M Build'!$C$7</f>
        <v>5620000</v>
      </c>
    </row>
    <row r="18" customFormat="false" ht="15" hidden="false" customHeight="true" outlineLevel="0" collapsed="false">
      <c r="B18" s="13" t="s">
        <v>467</v>
      </c>
      <c r="C18" s="84" t="n">
        <f aca="false">'COGS &amp; Overhead Build'!C60</f>
        <v>0</v>
      </c>
      <c r="D18" s="84" t="n">
        <f aca="false">'COGS &amp; Overhead Build'!D60</f>
        <v>1</v>
      </c>
      <c r="E18" s="84" t="n">
        <f aca="false">'COGS &amp; Overhead Build'!E60</f>
        <v>2</v>
      </c>
      <c r="F18" s="84" t="n">
        <f aca="false">'COGS &amp; Overhead Build'!F60</f>
        <v>3</v>
      </c>
      <c r="G18" s="84" t="n">
        <f aca="false">'COGS &amp; Overhead Build'!G60</f>
        <v>6</v>
      </c>
      <c r="H18" s="84" t="n">
        <f aca="false">'COGS &amp; Overhead Build'!H60</f>
        <v>8</v>
      </c>
      <c r="I18" s="84" t="n">
        <f aca="false">'COGS &amp; Overhead Build'!I60</f>
        <v>10</v>
      </c>
    </row>
    <row r="19" customFormat="false" ht="15" hidden="false" customHeight="true" outlineLevel="0" collapsed="false">
      <c r="B19" s="4" t="s">
        <v>468</v>
      </c>
      <c r="C19" s="4"/>
      <c r="D19" s="4"/>
      <c r="E19" s="4"/>
      <c r="F19" s="4"/>
      <c r="G19" s="4"/>
      <c r="H19" s="4"/>
      <c r="I19" s="4"/>
    </row>
    <row r="20" customFormat="false" ht="15" hidden="false" customHeight="true" outlineLevel="0" collapsed="false">
      <c r="B20" s="13" t="s">
        <v>469</v>
      </c>
      <c r="C20" s="84" t="n">
        <f aca="false">CHOOSE(Control!$C$8,'Product &amp; Data Eng Build'!C12,'Product &amp; Data Eng Build'!C18,'Product &amp; Data Eng Build'!C24)</f>
        <v>0</v>
      </c>
      <c r="D20" s="84" t="n">
        <f aca="false">CHOOSE(Control!$C$8,'Product &amp; Data Eng Build'!D12,'Product &amp; Data Eng Build'!D18,'Product &amp; Data Eng Build'!D24)</f>
        <v>1</v>
      </c>
      <c r="E20" s="84" t="n">
        <f aca="false">CHOOSE(Control!$C$8,'Product &amp; Data Eng Build'!E12,'Product &amp; Data Eng Build'!E18,'Product &amp; Data Eng Build'!E24)</f>
        <v>2</v>
      </c>
      <c r="F20" s="84" t="n">
        <f aca="false">CHOOSE(Control!$C$8,'Product &amp; Data Eng Build'!F12,'Product &amp; Data Eng Build'!F18,'Product &amp; Data Eng Build'!F24)</f>
        <v>5</v>
      </c>
      <c r="G20" s="84" t="n">
        <f aca="false">CHOOSE(Control!$C$8,'Product &amp; Data Eng Build'!G12,'Product &amp; Data Eng Build'!G18,'Product &amp; Data Eng Build'!G24)</f>
        <v>10</v>
      </c>
      <c r="H20" s="84" t="n">
        <f aca="false">CHOOSE(Control!$C$8,'Product &amp; Data Eng Build'!H12,'Product &amp; Data Eng Build'!H18,'Product &amp; Data Eng Build'!H24)</f>
        <v>14</v>
      </c>
      <c r="I20" s="84" t="n">
        <f aca="false">CHOOSE(Control!$C$8,'Product &amp; Data Eng Build'!I12,'Product &amp; Data Eng Build'!I18,'Product &amp; Data Eng Build'!I24)</f>
        <v>18</v>
      </c>
    </row>
    <row r="21" customFormat="false" ht="15" hidden="false" customHeight="true" outlineLevel="0" collapsed="false">
      <c r="B21" s="13" t="s">
        <v>470</v>
      </c>
      <c r="C21" s="84" t="n">
        <f aca="false">CHOOSE(Control!$C$8,'Product &amp; Data Eng Build'!C13,'Product &amp; Data Eng Build'!C19,'Product &amp; Data Eng Build'!C25)</f>
        <v>0</v>
      </c>
      <c r="D21" s="84" t="n">
        <f aca="false">CHOOSE(Control!$C$8,'Product &amp; Data Eng Build'!D13,'Product &amp; Data Eng Build'!D19,'Product &amp; Data Eng Build'!D25)</f>
        <v>0</v>
      </c>
      <c r="E21" s="84" t="n">
        <f aca="false">CHOOSE(Control!$C$8,'Product &amp; Data Eng Build'!E13,'Product &amp; Data Eng Build'!E19,'Product &amp; Data Eng Build'!E25)</f>
        <v>0</v>
      </c>
      <c r="F21" s="84" t="n">
        <f aca="false">CHOOSE(Control!$C$8,'Product &amp; Data Eng Build'!F13,'Product &amp; Data Eng Build'!F19,'Product &amp; Data Eng Build'!F25)</f>
        <v>1</v>
      </c>
      <c r="G21" s="84" t="n">
        <f aca="false">CHOOSE(Control!$C$8,'Product &amp; Data Eng Build'!G13,'Product &amp; Data Eng Build'!G19,'Product &amp; Data Eng Build'!G25)</f>
        <v>1</v>
      </c>
      <c r="H21" s="84" t="n">
        <f aca="false">CHOOSE(Control!$C$8,'Product &amp; Data Eng Build'!H13,'Product &amp; Data Eng Build'!H19,'Product &amp; Data Eng Build'!H25)</f>
        <v>1</v>
      </c>
      <c r="I21" s="84" t="n">
        <f aca="false">CHOOSE(Control!$C$8,'Product &amp; Data Eng Build'!I13,'Product &amp; Data Eng Build'!I19,'Product &amp; Data Eng Build'!I25)</f>
        <v>1</v>
      </c>
    </row>
    <row r="22" customFormat="false" ht="15" hidden="false" customHeight="true" outlineLevel="0" collapsed="false">
      <c r="B22" s="13" t="s">
        <v>471</v>
      </c>
      <c r="C22" s="22" t="n">
        <f aca="false">C20*'Product &amp; Data Eng Build'!$C$5+C21*'Product &amp; Data Eng Build'!$C$7</f>
        <v>0</v>
      </c>
      <c r="D22" s="22" t="n">
        <f aca="false">D20*'Product &amp; Data Eng Build'!$C$5+D21*'Product &amp; Data Eng Build'!$C$7</f>
        <v>165000</v>
      </c>
      <c r="E22" s="22" t="n">
        <f aca="false">E20*'Product &amp; Data Eng Build'!$C$5+E21*'Product &amp; Data Eng Build'!$C$7</f>
        <v>330000</v>
      </c>
      <c r="F22" s="22" t="n">
        <f aca="false">F20*'Product &amp; Data Eng Build'!$C$5+F21*'Product &amp; Data Eng Build'!$C$7</f>
        <v>1055000</v>
      </c>
      <c r="G22" s="22" t="n">
        <f aca="false">G20*'Product &amp; Data Eng Build'!$C$5+G21*'Product &amp; Data Eng Build'!$C$7</f>
        <v>1880000</v>
      </c>
      <c r="H22" s="22" t="n">
        <f aca="false">H20*'Product &amp; Data Eng Build'!$C$5+H21*'Product &amp; Data Eng Build'!$C$7</f>
        <v>2540000</v>
      </c>
      <c r="I22" s="22" t="n">
        <f aca="false">I20*'Product &amp; Data Eng Build'!$C$5+I21*'Product &amp; Data Eng Build'!$C$7</f>
        <v>3200000</v>
      </c>
    </row>
    <row r="23" customFormat="false" ht="15" hidden="false" customHeight="true" outlineLevel="0" collapsed="false">
      <c r="B23" s="13" t="s">
        <v>472</v>
      </c>
      <c r="C23" s="84" t="n">
        <f aca="false">CHOOSE(Control!$C$8,'Product &amp; Data Eng Build'!C31,'Product &amp; Data Eng Build'!C32,'Product &amp; Data Eng Build'!C33)</f>
        <v>0</v>
      </c>
      <c r="D23" s="84" t="n">
        <f aca="false">CHOOSE(Control!$C$8,'Product &amp; Data Eng Build'!D31,'Product &amp; Data Eng Build'!D32,'Product &amp; Data Eng Build'!D33)</f>
        <v>0</v>
      </c>
      <c r="E23" s="84" t="n">
        <f aca="false">CHOOSE(Control!$C$8,'Product &amp; Data Eng Build'!E31,'Product &amp; Data Eng Build'!E32,'Product &amp; Data Eng Build'!E33)</f>
        <v>0</v>
      </c>
      <c r="F23" s="84" t="n">
        <f aca="false">CHOOSE(Control!$C$8,'Product &amp; Data Eng Build'!F31,'Product &amp; Data Eng Build'!F32,'Product &amp; Data Eng Build'!F33)</f>
        <v>2</v>
      </c>
      <c r="G23" s="84" t="n">
        <f aca="false">CHOOSE(Control!$C$8,'Product &amp; Data Eng Build'!G31,'Product &amp; Data Eng Build'!G32,'Product &amp; Data Eng Build'!G33)</f>
        <v>3</v>
      </c>
      <c r="H23" s="84" t="n">
        <f aca="false">CHOOSE(Control!$C$8,'Product &amp; Data Eng Build'!H31,'Product &amp; Data Eng Build'!H32,'Product &amp; Data Eng Build'!H33)</f>
        <v>3</v>
      </c>
      <c r="I23" s="84" t="n">
        <f aca="false">CHOOSE(Control!$C$8,'Product &amp; Data Eng Build'!I31,'Product &amp; Data Eng Build'!I32,'Product &amp; Data Eng Build'!I33)</f>
        <v>4</v>
      </c>
    </row>
    <row r="24" customFormat="false" ht="15" hidden="false" customHeight="true" outlineLevel="0" collapsed="false">
      <c r="B24" s="4" t="s">
        <v>473</v>
      </c>
      <c r="C24" s="4"/>
      <c r="D24" s="4"/>
      <c r="E24" s="4"/>
      <c r="F24" s="4"/>
      <c r="G24" s="4"/>
      <c r="H24" s="4"/>
      <c r="I24" s="4"/>
    </row>
    <row r="25" customFormat="false" ht="15" hidden="false" customHeight="true" outlineLevel="0" collapsed="false">
      <c r="B25" s="5" t="s">
        <v>474</v>
      </c>
      <c r="C25" s="94" t="n">
        <f aca="false">C6+C8+C10+C12+C14+C15+C16+C18+C20+C21+C23</f>
        <v>2</v>
      </c>
      <c r="D25" s="94" t="n">
        <f aca="false">D6+D8+D10+D12+D14+D15+D16+D18+D20+D21+D23</f>
        <v>5</v>
      </c>
      <c r="E25" s="94" t="n">
        <f aca="false">E6+E8+E10+E12+E14+E15+E16+E18+E20+E21+E23</f>
        <v>14</v>
      </c>
      <c r="F25" s="94" t="n">
        <f aca="false">F6+F8+F10+F12+F14+F15+F16+F18+F20+F21+F23</f>
        <v>42</v>
      </c>
      <c r="G25" s="94" t="n">
        <f aca="false">G6+G8+G10+G12+G14+G15+G16+G18+G20+G21+G23</f>
        <v>71</v>
      </c>
      <c r="H25" s="94" t="n">
        <f aca="false">H6+H8+H10+H12+H14+H15+H16+H18+H20+H21+H23</f>
        <v>93</v>
      </c>
      <c r="I25" s="94" t="n">
        <f aca="false">I6+I8+I10+I12+I14+I15+I16+I18+I20+I21+I23</f>
        <v>115</v>
      </c>
    </row>
    <row r="26" customFormat="false" ht="15" hidden="false" customHeight="true" outlineLevel="0" collapsed="false">
      <c r="B26" s="5" t="s">
        <v>475</v>
      </c>
      <c r="C26" s="27" t="n">
        <f aca="false">C7+C9+C11+C17+C22+C12*'COGS &amp; Overhead Build'!$C$58+C18*'COGS &amp; Overhead Build'!$C$50+C23*'Product &amp; Data Eng Build'!$C$30</f>
        <v>315000</v>
      </c>
      <c r="D26" s="27" t="n">
        <f aca="false">D7+D9+D11+D17+D22+D12*'COGS &amp; Overhead Build'!$C$58+D18*'COGS &amp; Overhead Build'!$C$50+D23*'Product &amp; Data Eng Build'!$C$30</f>
        <v>780000</v>
      </c>
      <c r="E26" s="27" t="n">
        <f aca="false">E7+E9+E11+E17+E22+E12*'COGS &amp; Overhead Build'!$C$58+E18*'COGS &amp; Overhead Build'!$C$50+E23*'Product &amp; Data Eng Build'!$C$30</f>
        <v>1813000</v>
      </c>
      <c r="F26" s="27" t="n">
        <f aca="false">F7+F9+F11+F17+F22+F12*'COGS &amp; Overhead Build'!$C$58+F18*'COGS &amp; Overhead Build'!$C$50+F23*'Product &amp; Data Eng Build'!$C$30</f>
        <v>6006000</v>
      </c>
      <c r="G26" s="27" t="n">
        <f aca="false">G7+G9+G11+G17+G22+G12*'COGS &amp; Overhead Build'!$C$58+G18*'COGS &amp; Overhead Build'!$C$50+G23*'Product &amp; Data Eng Build'!$C$30</f>
        <v>9995000</v>
      </c>
      <c r="H26" s="27" t="n">
        <f aca="false">H7+H9+H11+H17+H22+H12*'COGS &amp; Overhead Build'!$C$58+H18*'COGS &amp; Overhead Build'!$C$50+H23*'Product &amp; Data Eng Build'!$C$30</f>
        <v>12869000</v>
      </c>
      <c r="I26" s="27" t="n">
        <f aca="false">I7+I9+I11+I17+I22+I12*'COGS &amp; Overhead Build'!$C$58+I18*'COGS &amp; Overhead Build'!$C$50+I23*'Product &amp; Data Eng Build'!$C$30</f>
        <v>15778000</v>
      </c>
    </row>
    <row r="27" customFormat="false" ht="15" hidden="false" customHeight="true" outlineLevel="0" collapsed="false">
      <c r="B27" s="32" t="s">
        <v>476</v>
      </c>
      <c r="C27" s="49" t="n">
        <f aca="false">C26/'P&amp;L'!C13*-1</f>
        <v>0.678294573643411</v>
      </c>
      <c r="D27" s="49" t="n">
        <f aca="false">D26/'P&amp;L'!D13*-1</f>
        <v>0.692902194190282</v>
      </c>
      <c r="E27" s="49" t="n">
        <f aca="false">E26/'P&amp;L'!E13*-1</f>
        <v>1.3380073800738</v>
      </c>
      <c r="F27" s="49" t="n">
        <f aca="false">F26/'P&amp;L'!F13*-1</f>
        <v>0.906566037735849</v>
      </c>
      <c r="G27" s="49" t="n">
        <f aca="false">G26/'P&amp;L'!G13*-1</f>
        <v>0.848832271762208</v>
      </c>
      <c r="H27" s="49" t="n">
        <f aca="false">H26/'P&amp;L'!H13*-1</f>
        <v>0.801557147306135</v>
      </c>
      <c r="I27" s="49" t="n">
        <f aca="false">I26/'P&amp;L'!I13*-1</f>
        <v>0.790085127691537</v>
      </c>
    </row>
  </sheetData>
  <mergeCells count="6">
    <mergeCell ref="B1:I1"/>
    <mergeCell ref="B2:I2"/>
    <mergeCell ref="B5:I5"/>
    <mergeCell ref="B13:I13"/>
    <mergeCell ref="B19:I19"/>
    <mergeCell ref="B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9" min="3" style="1" width="12"/>
  </cols>
  <sheetData>
    <row r="1" customFormat="false" ht="19.5" hidden="false" customHeight="true" outlineLevel="0" collapsed="false">
      <c r="B1" s="2" t="s">
        <v>477</v>
      </c>
      <c r="C1" s="2"/>
      <c r="D1" s="2"/>
      <c r="E1" s="2"/>
      <c r="F1" s="2"/>
      <c r="G1" s="2"/>
      <c r="H1" s="2"/>
      <c r="I1" s="2"/>
    </row>
    <row r="2" customFormat="false" ht="15" hidden="false" customHeight="true" outlineLevel="0" collapsed="false">
      <c r="B2" s="3" t="s">
        <v>478</v>
      </c>
      <c r="C2" s="3"/>
      <c r="D2" s="3"/>
      <c r="E2" s="3"/>
      <c r="F2" s="3"/>
      <c r="G2" s="3"/>
      <c r="H2" s="3"/>
      <c r="I2" s="3"/>
    </row>
    <row r="4" customFormat="false" ht="15" hidden="false" customHeight="true" outlineLevel="0" collapsed="false">
      <c r="B4" s="4" t="s">
        <v>479</v>
      </c>
      <c r="C4" s="4"/>
      <c r="D4" s="4"/>
    </row>
    <row r="5" customFormat="false" ht="15" hidden="false" customHeight="true" outlineLevel="0" collapsed="false">
      <c r="B5" s="13" t="s">
        <v>480</v>
      </c>
      <c r="C5" s="52" t="n">
        <v>150000</v>
      </c>
    </row>
    <row r="6" customFormat="false" ht="15" hidden="false" customHeight="true" outlineLevel="0" collapsed="false">
      <c r="B6" s="13" t="s">
        <v>481</v>
      </c>
      <c r="C6" s="52" t="n">
        <v>185000</v>
      </c>
      <c r="D6" s="52" t="n">
        <v>190000</v>
      </c>
    </row>
    <row r="7" customFormat="false" ht="15" hidden="false" customHeight="true" outlineLevel="0" collapsed="false">
      <c r="B7" s="13" t="s">
        <v>482</v>
      </c>
      <c r="C7" s="52" t="n">
        <v>260000</v>
      </c>
    </row>
    <row r="8" customFormat="false" ht="15" hidden="false" customHeight="true" outlineLevel="0" collapsed="false">
      <c r="B8" s="13" t="s">
        <v>483</v>
      </c>
      <c r="C8" s="52" t="n">
        <v>270000</v>
      </c>
    </row>
    <row r="11" customFormat="false" ht="15" hidden="false" customHeight="true" outlineLevel="0" collapsed="false">
      <c r="B11" s="4" t="s">
        <v>484</v>
      </c>
      <c r="C11" s="4"/>
      <c r="D11" s="4"/>
      <c r="E11" s="4"/>
      <c r="F11" s="4"/>
      <c r="G11" s="4"/>
      <c r="H11" s="4"/>
      <c r="I11" s="4"/>
    </row>
    <row r="12" customFormat="false" ht="15" hidden="false" customHeight="true" outlineLevel="0" collapsed="false">
      <c r="B12" s="13" t="s">
        <v>330</v>
      </c>
      <c r="C12" s="83" t="n">
        <v>0</v>
      </c>
      <c r="D12" s="83" t="n">
        <v>1</v>
      </c>
      <c r="E12" s="83" t="n">
        <v>2</v>
      </c>
      <c r="F12" s="83" t="n">
        <v>2</v>
      </c>
      <c r="G12" s="83" t="n">
        <v>2</v>
      </c>
      <c r="H12" s="83" t="n">
        <v>3</v>
      </c>
      <c r="I12" s="83" t="n">
        <v>3</v>
      </c>
    </row>
    <row r="13" customFormat="false" ht="15" hidden="false" customHeight="true" outlineLevel="0" collapsed="false">
      <c r="B13" s="13" t="s">
        <v>331</v>
      </c>
      <c r="C13" s="83" t="n">
        <v>0</v>
      </c>
      <c r="D13" s="83" t="n">
        <v>0</v>
      </c>
      <c r="E13" s="83" t="n">
        <v>0</v>
      </c>
      <c r="F13" s="83" t="n">
        <v>1</v>
      </c>
      <c r="G13" s="83" t="n">
        <v>1</v>
      </c>
      <c r="H13" s="83" t="n">
        <v>2</v>
      </c>
      <c r="I13" s="83" t="n">
        <v>2</v>
      </c>
    </row>
    <row r="14" customFormat="false" ht="15" hidden="false" customHeight="true" outlineLevel="0" collapsed="false">
      <c r="B14" s="13" t="s">
        <v>332</v>
      </c>
      <c r="C14" s="83" t="n">
        <v>0</v>
      </c>
      <c r="D14" s="83" t="n">
        <v>0</v>
      </c>
      <c r="E14" s="83" t="n">
        <v>0</v>
      </c>
      <c r="F14" s="83" t="n">
        <v>0</v>
      </c>
      <c r="G14" s="83" t="n">
        <v>0</v>
      </c>
      <c r="H14" s="83" t="n">
        <v>0</v>
      </c>
      <c r="I14" s="83" t="n">
        <v>0</v>
      </c>
    </row>
    <row r="15" customFormat="false" ht="15" hidden="false" customHeight="true" outlineLevel="0" collapsed="false">
      <c r="B15" s="13" t="s">
        <v>485</v>
      </c>
      <c r="C15" s="52" t="n">
        <v>20000</v>
      </c>
      <c r="D15" s="52" t="n">
        <v>100000</v>
      </c>
      <c r="E15" s="52" t="n">
        <v>175000</v>
      </c>
      <c r="F15" s="52" t="n">
        <v>280000</v>
      </c>
      <c r="G15" s="52" t="n">
        <v>420000</v>
      </c>
      <c r="H15" s="52" t="n">
        <v>580000</v>
      </c>
      <c r="I15" s="52" t="n">
        <v>720000</v>
      </c>
    </row>
    <row r="16" customFormat="false" ht="15" hidden="false" customHeight="true" outlineLevel="0" collapsed="false">
      <c r="B16" s="5" t="s">
        <v>486</v>
      </c>
      <c r="C16" s="28" t="n">
        <f aca="false">C12*$C$5+C13*$C$6+C14*$C$7+C15</f>
        <v>20000</v>
      </c>
      <c r="D16" s="28" t="n">
        <f aca="false">D12*$C$5+D13*$C$6+D14*$C$7+D15</f>
        <v>250000</v>
      </c>
      <c r="E16" s="28" t="n">
        <f aca="false">E12*$C$5+E13*$C$6+E14*$C$7+E15</f>
        <v>475000</v>
      </c>
      <c r="F16" s="28" t="n">
        <f aca="false">F12*$C$5+F13*$C$6+F14*$C$7+F15</f>
        <v>765000</v>
      </c>
      <c r="G16" s="28" t="n">
        <f aca="false">G12*$C$5+G13*$C$6+G14*$C$7+G15</f>
        <v>905000</v>
      </c>
      <c r="H16" s="28" t="n">
        <f aca="false">H12*$C$5+H13*$C$6+H14*$C$7+H15</f>
        <v>1400000</v>
      </c>
      <c r="I16" s="28" t="n">
        <f aca="false">I12*$C$5+I13*$C$6+I14*$C$7+I15</f>
        <v>1540000</v>
      </c>
    </row>
    <row r="18" customFormat="false" ht="15" hidden="false" customHeight="true" outlineLevel="0" collapsed="false">
      <c r="B18" s="4" t="s">
        <v>487</v>
      </c>
      <c r="C18" s="4"/>
      <c r="D18" s="4"/>
      <c r="E18" s="4"/>
      <c r="F18" s="4"/>
      <c r="G18" s="4"/>
      <c r="H18" s="4"/>
      <c r="I18" s="4"/>
    </row>
    <row r="19" customFormat="false" ht="15" hidden="false" customHeight="true" outlineLevel="0" collapsed="false">
      <c r="B19" s="13" t="s">
        <v>330</v>
      </c>
      <c r="C19" s="83" t="n">
        <v>0</v>
      </c>
      <c r="D19" s="83" t="n">
        <v>1</v>
      </c>
      <c r="E19" s="83" t="n">
        <v>2</v>
      </c>
      <c r="F19" s="83" t="n">
        <v>7</v>
      </c>
      <c r="G19" s="83" t="n">
        <v>11</v>
      </c>
      <c r="H19" s="83" t="n">
        <v>14</v>
      </c>
      <c r="I19" s="83" t="n">
        <v>16</v>
      </c>
    </row>
    <row r="20" customFormat="false" ht="15" hidden="false" customHeight="true" outlineLevel="0" collapsed="false">
      <c r="B20" s="13" t="s">
        <v>331</v>
      </c>
      <c r="C20" s="83" t="n">
        <v>0</v>
      </c>
      <c r="D20" s="83" t="n">
        <v>0</v>
      </c>
      <c r="E20" s="83" t="n">
        <v>0</v>
      </c>
      <c r="F20" s="83" t="n">
        <v>6</v>
      </c>
      <c r="G20" s="83" t="n">
        <v>10</v>
      </c>
      <c r="H20" s="83" t="n">
        <v>13</v>
      </c>
      <c r="I20" s="83" t="n">
        <v>16</v>
      </c>
    </row>
    <row r="21" customFormat="false" ht="15" hidden="false" customHeight="true" outlineLevel="0" collapsed="false">
      <c r="B21" s="13" t="s">
        <v>332</v>
      </c>
      <c r="C21" s="83" t="n">
        <v>0</v>
      </c>
      <c r="D21" s="83" t="n">
        <v>0</v>
      </c>
      <c r="E21" s="83" t="n">
        <v>0</v>
      </c>
      <c r="F21" s="83" t="n">
        <v>1</v>
      </c>
      <c r="G21" s="83" t="n">
        <v>1</v>
      </c>
      <c r="H21" s="83" t="n">
        <v>1</v>
      </c>
      <c r="I21" s="83" t="n">
        <v>1</v>
      </c>
    </row>
    <row r="22" customFormat="false" ht="15" hidden="false" customHeight="true" outlineLevel="0" collapsed="false">
      <c r="B22" s="13" t="s">
        <v>485</v>
      </c>
      <c r="C22" s="52" t="n">
        <v>20000</v>
      </c>
      <c r="D22" s="52" t="n">
        <v>100000</v>
      </c>
      <c r="E22" s="52" t="n">
        <v>175000</v>
      </c>
      <c r="F22" s="52" t="n">
        <v>900000</v>
      </c>
      <c r="G22" s="52" t="n">
        <v>1900000</v>
      </c>
      <c r="H22" s="52" t="n">
        <v>3000000</v>
      </c>
      <c r="I22" s="52" t="n">
        <v>4000000</v>
      </c>
    </row>
    <row r="23" customFormat="false" ht="15" hidden="false" customHeight="true" outlineLevel="0" collapsed="false">
      <c r="B23" s="5" t="s">
        <v>486</v>
      </c>
      <c r="C23" s="28" t="n">
        <f aca="false">C19*$C$5+C20*$C$6+C21*$C$7+C22</f>
        <v>20000</v>
      </c>
      <c r="D23" s="28" t="n">
        <f aca="false">D19*$C$5+D20*$C$6+D21*$C$7+D22</f>
        <v>250000</v>
      </c>
      <c r="E23" s="28" t="n">
        <f aca="false">E19*$C$5+E20*$C$6+E21*$C$7+E22</f>
        <v>475000</v>
      </c>
      <c r="F23" s="28" t="n">
        <f aca="false">F19*$C$5+F20*$C$6+F21*$C$7+F22</f>
        <v>3320000</v>
      </c>
      <c r="G23" s="28" t="n">
        <f aca="false">G19*$C$5+G20*$C$6+G21*$C$7+G22</f>
        <v>5660000</v>
      </c>
      <c r="H23" s="28" t="n">
        <f aca="false">H19*$C$5+H20*$C$6+H21*$C$7+H22</f>
        <v>7765000</v>
      </c>
      <c r="I23" s="28" t="n">
        <f aca="false">I19*$C$5+I20*$C$6+I21*$C$7+I22</f>
        <v>9620000</v>
      </c>
    </row>
    <row r="25" customFormat="false" ht="15" hidden="false" customHeight="true" outlineLevel="0" collapsed="false">
      <c r="B25" s="4" t="s">
        <v>488</v>
      </c>
      <c r="C25" s="4"/>
      <c r="D25" s="4"/>
      <c r="E25" s="4"/>
      <c r="F25" s="4"/>
      <c r="G25" s="4"/>
      <c r="H25" s="4"/>
      <c r="I25" s="4"/>
    </row>
    <row r="26" customFormat="false" ht="15" hidden="false" customHeight="true" outlineLevel="0" collapsed="false">
      <c r="B26" s="13" t="s">
        <v>330</v>
      </c>
      <c r="C26" s="83" t="n">
        <v>0</v>
      </c>
      <c r="D26" s="83" t="n">
        <v>1</v>
      </c>
      <c r="E26" s="83" t="n">
        <v>2</v>
      </c>
      <c r="F26" s="83" t="n">
        <v>7</v>
      </c>
      <c r="G26" s="83" t="n">
        <v>16</v>
      </c>
      <c r="H26" s="83" t="n">
        <v>23</v>
      </c>
      <c r="I26" s="83" t="n">
        <v>29</v>
      </c>
    </row>
    <row r="27" customFormat="false" ht="15" hidden="false" customHeight="true" outlineLevel="0" collapsed="false">
      <c r="B27" s="13" t="s">
        <v>331</v>
      </c>
      <c r="C27" s="83" t="n">
        <v>0</v>
      </c>
      <c r="D27" s="83" t="n">
        <v>0</v>
      </c>
      <c r="E27" s="83" t="n">
        <v>0</v>
      </c>
      <c r="F27" s="83" t="n">
        <v>5</v>
      </c>
      <c r="G27" s="83" t="n">
        <v>14</v>
      </c>
      <c r="H27" s="83" t="n">
        <v>21</v>
      </c>
      <c r="I27" s="83" t="n">
        <v>27</v>
      </c>
    </row>
    <row r="28" customFormat="false" ht="15" hidden="false" customHeight="true" outlineLevel="0" collapsed="false">
      <c r="B28" s="13" t="s">
        <v>332</v>
      </c>
      <c r="C28" s="83" t="n">
        <v>0</v>
      </c>
      <c r="D28" s="83" t="n">
        <v>0</v>
      </c>
      <c r="E28" s="83" t="n">
        <v>0</v>
      </c>
      <c r="F28" s="83" t="n">
        <v>1</v>
      </c>
      <c r="G28" s="83" t="n">
        <v>1</v>
      </c>
      <c r="H28" s="83" t="n">
        <v>1</v>
      </c>
      <c r="I28" s="83" t="n">
        <v>1</v>
      </c>
    </row>
    <row r="29" customFormat="false" ht="15" hidden="false" customHeight="true" outlineLevel="0" collapsed="false">
      <c r="B29" s="13" t="s">
        <v>485</v>
      </c>
      <c r="C29" s="52" t="n">
        <v>20000</v>
      </c>
      <c r="D29" s="52" t="n">
        <v>100000</v>
      </c>
      <c r="E29" s="52" t="n">
        <v>175000</v>
      </c>
      <c r="F29" s="52" t="n">
        <v>1300000</v>
      </c>
      <c r="G29" s="52" t="n">
        <v>3000000</v>
      </c>
      <c r="H29" s="52" t="n">
        <v>5200000</v>
      </c>
      <c r="I29" s="52" t="n">
        <v>7200000</v>
      </c>
    </row>
    <row r="30" customFormat="false" ht="15" hidden="false" customHeight="true" outlineLevel="0" collapsed="false">
      <c r="B30" s="5" t="s">
        <v>486</v>
      </c>
      <c r="C30" s="28" t="n">
        <f aca="false">C26*$C$5+C27*$D$6+C28*$C$8+C29</f>
        <v>20000</v>
      </c>
      <c r="D30" s="28" t="n">
        <f aca="false">D26*$C$5+D27*$D$6+D28*$C$8+D29</f>
        <v>250000</v>
      </c>
      <c r="E30" s="28" t="n">
        <f aca="false">E26*$C$5+E27*$D$6+E28*$C$8+E29</f>
        <v>475000</v>
      </c>
      <c r="F30" s="28" t="n">
        <f aca="false">F26*$C$5+F27*$D$6+F28*$C$8+F29</f>
        <v>3570000</v>
      </c>
      <c r="G30" s="28" t="n">
        <f aca="false">G26*$C$5+G27*$D$6+G28*$C$8+G29</f>
        <v>8330000</v>
      </c>
      <c r="H30" s="28" t="n">
        <f aca="false">H26*$C$5+H27*$D$6+H28*$C$8+H29</f>
        <v>12910000</v>
      </c>
      <c r="I30" s="28" t="n">
        <f aca="false">I26*$C$5+I27*$D$6+I28*$C$8+I29</f>
        <v>16950000</v>
      </c>
    </row>
    <row r="32" customFormat="false" ht="15" hidden="false" customHeight="true" outlineLevel="0" collapsed="false">
      <c r="B32" s="4" t="s">
        <v>489</v>
      </c>
      <c r="C32" s="4"/>
      <c r="D32" s="4"/>
      <c r="E32" s="4"/>
      <c r="F32" s="4"/>
      <c r="G32" s="4"/>
      <c r="H32" s="4"/>
      <c r="I32" s="4"/>
    </row>
    <row r="33" customFormat="false" ht="15" hidden="false" customHeight="true" outlineLevel="0" collapsed="false">
      <c r="B33" s="95" t="s">
        <v>490</v>
      </c>
      <c r="C33" s="96" t="n">
        <v>0</v>
      </c>
      <c r="D33" s="96" t="n">
        <v>1</v>
      </c>
      <c r="E33" s="96" t="n">
        <v>1</v>
      </c>
      <c r="F33" s="96" t="n">
        <v>1</v>
      </c>
      <c r="G33" s="96" t="n">
        <v>2</v>
      </c>
      <c r="H33" s="96" t="n">
        <v>2</v>
      </c>
      <c r="I33" s="96" t="n">
        <v>2</v>
      </c>
    </row>
    <row r="34" customFormat="false" ht="15" hidden="false" customHeight="true" outlineLevel="0" collapsed="false">
      <c r="B34" s="95" t="s">
        <v>491</v>
      </c>
      <c r="C34" s="97" t="n">
        <v>120000</v>
      </c>
      <c r="D34" s="98"/>
      <c r="E34" s="98"/>
      <c r="F34" s="98"/>
      <c r="G34" s="98"/>
      <c r="H34" s="98"/>
      <c r="I34" s="98"/>
    </row>
    <row r="35" customFormat="false" ht="15" hidden="false" customHeight="true" outlineLevel="0" collapsed="false">
      <c r="B35" s="95" t="s">
        <v>492</v>
      </c>
      <c r="C35" s="97" t="n">
        <f aca="false">C33*$C$34</f>
        <v>0</v>
      </c>
      <c r="D35" s="97" t="n">
        <f aca="false">D33*$C$34</f>
        <v>120000</v>
      </c>
      <c r="E35" s="97" t="n">
        <f aca="false">E33*$C$34</f>
        <v>120000</v>
      </c>
      <c r="F35" s="97" t="n">
        <f aca="false">F33*$C$34</f>
        <v>120000</v>
      </c>
      <c r="G35" s="97" t="n">
        <f aca="false">G33*$C$34</f>
        <v>240000</v>
      </c>
      <c r="H35" s="97" t="n">
        <f aca="false">H33*$C$34</f>
        <v>240000</v>
      </c>
      <c r="I35" s="97" t="n">
        <f aca="false">I33*$C$34</f>
        <v>240000</v>
      </c>
    </row>
  </sheetData>
  <mergeCells count="7">
    <mergeCell ref="B1:I1"/>
    <mergeCell ref="B2:I2"/>
    <mergeCell ref="B4:D4"/>
    <mergeCell ref="B11:I11"/>
    <mergeCell ref="B18:I18"/>
    <mergeCell ref="B25:I25"/>
    <mergeCell ref="B32:I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2"/>
    <col collapsed="false" customWidth="true" hidden="false" outlineLevel="0" max="9" min="3" style="1" width="12"/>
  </cols>
  <sheetData>
    <row r="1" customFormat="false" ht="19.5" hidden="false" customHeight="true" outlineLevel="0" collapsed="false">
      <c r="B1" s="2" t="s">
        <v>493</v>
      </c>
      <c r="C1" s="2"/>
      <c r="D1" s="2"/>
      <c r="E1" s="2"/>
      <c r="F1" s="2"/>
      <c r="G1" s="2"/>
      <c r="H1" s="2"/>
      <c r="I1" s="2"/>
    </row>
    <row r="2" customFormat="false" ht="15" hidden="false" customHeight="true" outlineLevel="0" collapsed="false">
      <c r="B2" s="3" t="s">
        <v>494</v>
      </c>
      <c r="C2" s="3"/>
      <c r="D2" s="3"/>
      <c r="E2" s="3"/>
      <c r="F2" s="3"/>
      <c r="G2" s="3"/>
      <c r="H2" s="3"/>
      <c r="I2" s="3"/>
    </row>
    <row r="4" customFormat="false" ht="15" hidden="false" customHeight="true" outlineLevel="0" collapsed="false">
      <c r="B4" s="4" t="s">
        <v>479</v>
      </c>
      <c r="C4" s="4"/>
      <c r="D4" s="4"/>
    </row>
    <row r="5" customFormat="false" ht="15" hidden="false" customHeight="true" outlineLevel="0" collapsed="false">
      <c r="B5" s="13" t="s">
        <v>495</v>
      </c>
      <c r="C5" s="52" t="n">
        <v>165000</v>
      </c>
    </row>
    <row r="6" customFormat="false" ht="15" hidden="false" customHeight="true" outlineLevel="0" collapsed="false">
      <c r="B6" s="13" t="s">
        <v>496</v>
      </c>
      <c r="C6" s="52" t="n">
        <v>170000</v>
      </c>
    </row>
    <row r="7" customFormat="false" ht="15" hidden="false" customHeight="true" outlineLevel="0" collapsed="false">
      <c r="B7" s="13" t="s">
        <v>497</v>
      </c>
      <c r="C7" s="52" t="n">
        <v>230000</v>
      </c>
    </row>
    <row r="8" customFormat="false" ht="15" hidden="false" customHeight="true" outlineLevel="0" collapsed="false">
      <c r="B8" s="13" t="s">
        <v>498</v>
      </c>
      <c r="C8" s="52" t="n">
        <v>250000</v>
      </c>
    </row>
    <row r="11" customFormat="false" ht="15" hidden="false" customHeight="true" outlineLevel="0" collapsed="false">
      <c r="B11" s="4" t="s">
        <v>484</v>
      </c>
      <c r="C11" s="4"/>
      <c r="D11" s="4"/>
      <c r="E11" s="4"/>
      <c r="F11" s="4"/>
      <c r="G11" s="4"/>
      <c r="H11" s="4"/>
      <c r="I11" s="4"/>
    </row>
    <row r="12" customFormat="false" ht="15" hidden="false" customHeight="true" outlineLevel="0" collapsed="false">
      <c r="B12" s="13" t="s">
        <v>469</v>
      </c>
      <c r="C12" s="83" t="n">
        <v>0</v>
      </c>
      <c r="D12" s="83" t="n">
        <v>1</v>
      </c>
      <c r="E12" s="83" t="n">
        <v>2</v>
      </c>
      <c r="F12" s="83" t="n">
        <v>3</v>
      </c>
      <c r="G12" s="83" t="n">
        <v>4</v>
      </c>
      <c r="H12" s="83" t="n">
        <v>5</v>
      </c>
      <c r="I12" s="83" t="n">
        <v>6</v>
      </c>
    </row>
    <row r="13" customFormat="false" ht="15" hidden="false" customHeight="true" outlineLevel="0" collapsed="false">
      <c r="B13" s="13" t="s">
        <v>499</v>
      </c>
      <c r="C13" s="83" t="n">
        <v>0</v>
      </c>
      <c r="D13" s="83" t="n">
        <v>0</v>
      </c>
      <c r="E13" s="83" t="n">
        <v>0</v>
      </c>
      <c r="F13" s="83" t="n">
        <v>0</v>
      </c>
      <c r="G13" s="83" t="n">
        <v>0</v>
      </c>
      <c r="H13" s="83" t="n">
        <v>0</v>
      </c>
      <c r="I13" s="83" t="n">
        <v>0</v>
      </c>
    </row>
    <row r="14" customFormat="false" ht="15" hidden="false" customHeight="true" outlineLevel="0" collapsed="false">
      <c r="B14" s="13" t="s">
        <v>500</v>
      </c>
      <c r="C14" s="52" t="n">
        <v>15000</v>
      </c>
      <c r="D14" s="52" t="n">
        <v>250000</v>
      </c>
      <c r="E14" s="52" t="n">
        <v>85000</v>
      </c>
      <c r="F14" s="52" t="n">
        <v>140000</v>
      </c>
      <c r="G14" s="52" t="n">
        <v>230000</v>
      </c>
      <c r="H14" s="52" t="n">
        <v>320000</v>
      </c>
      <c r="I14" s="52" t="n">
        <v>420000</v>
      </c>
    </row>
    <row r="15" customFormat="false" ht="15" hidden="false" customHeight="true" outlineLevel="0" collapsed="false">
      <c r="B15" s="5" t="s">
        <v>501</v>
      </c>
      <c r="C15" s="99" t="n">
        <f aca="false">C12*$C$5+C13*$C$7+C14+C31*$C$30</f>
        <v>15000</v>
      </c>
      <c r="D15" s="99" t="n">
        <f aca="false">D12*$C$5+D13*$C$7+D14+D31*$C$30</f>
        <v>415000</v>
      </c>
      <c r="E15" s="99" t="n">
        <f aca="false">E12*$C$5+E13*$C$7+E14+E31*$C$30</f>
        <v>415000</v>
      </c>
      <c r="F15" s="99" t="n">
        <f aca="false">F12*$C$5+F13*$C$7+F14+F31*$C$30</f>
        <v>635000</v>
      </c>
      <c r="G15" s="99" t="n">
        <f aca="false">G12*$C$5+G13*$C$7+G14+G31*$C$30</f>
        <v>890000</v>
      </c>
      <c r="H15" s="99" t="n">
        <f aca="false">H12*$C$5+H13*$C$7+H14+H31*$C$30</f>
        <v>1145000</v>
      </c>
      <c r="I15" s="99" t="n">
        <f aca="false">I12*$C$5+I13*$C$7+I14+I31*$C$30</f>
        <v>1410000</v>
      </c>
    </row>
    <row r="17" customFormat="false" ht="15" hidden="false" customHeight="true" outlineLevel="0" collapsed="false">
      <c r="B17" s="4" t="s">
        <v>487</v>
      </c>
      <c r="C17" s="4"/>
      <c r="D17" s="4"/>
      <c r="E17" s="4"/>
      <c r="F17" s="4"/>
      <c r="G17" s="4"/>
      <c r="H17" s="4"/>
      <c r="I17" s="4"/>
    </row>
    <row r="18" customFormat="false" ht="15" hidden="false" customHeight="true" outlineLevel="0" collapsed="false">
      <c r="B18" s="13" t="s">
        <v>469</v>
      </c>
      <c r="C18" s="83" t="n">
        <v>0</v>
      </c>
      <c r="D18" s="83" t="n">
        <v>1</v>
      </c>
      <c r="E18" s="83" t="n">
        <v>2</v>
      </c>
      <c r="F18" s="83" t="n">
        <v>5</v>
      </c>
      <c r="G18" s="83" t="n">
        <v>10</v>
      </c>
      <c r="H18" s="83" t="n">
        <v>14</v>
      </c>
      <c r="I18" s="83" t="n">
        <v>18</v>
      </c>
    </row>
    <row r="19" customFormat="false" ht="15" hidden="false" customHeight="true" outlineLevel="0" collapsed="false">
      <c r="B19" s="13" t="s">
        <v>499</v>
      </c>
      <c r="C19" s="83" t="n">
        <v>0</v>
      </c>
      <c r="D19" s="83" t="n">
        <v>0</v>
      </c>
      <c r="E19" s="83" t="n">
        <v>0</v>
      </c>
      <c r="F19" s="83" t="n">
        <v>1</v>
      </c>
      <c r="G19" s="83" t="n">
        <v>1</v>
      </c>
      <c r="H19" s="83" t="n">
        <v>1</v>
      </c>
      <c r="I19" s="83" t="n">
        <v>1</v>
      </c>
    </row>
    <row r="20" customFormat="false" ht="15" hidden="false" customHeight="true" outlineLevel="0" collapsed="false">
      <c r="B20" s="13" t="s">
        <v>500</v>
      </c>
      <c r="C20" s="52" t="n">
        <v>15000</v>
      </c>
      <c r="D20" s="52" t="n">
        <v>250000</v>
      </c>
      <c r="E20" s="52" t="n">
        <v>85000</v>
      </c>
      <c r="F20" s="52" t="n">
        <v>1100000</v>
      </c>
      <c r="G20" s="52" t="n">
        <v>2300000</v>
      </c>
      <c r="H20" s="52" t="n">
        <v>3400000</v>
      </c>
      <c r="I20" s="52" t="n">
        <v>4200000</v>
      </c>
    </row>
    <row r="21" customFormat="false" ht="15" hidden="false" customHeight="true" outlineLevel="0" collapsed="false">
      <c r="B21" s="5" t="s">
        <v>501</v>
      </c>
      <c r="C21" s="99" t="n">
        <f aca="false">C18*$C$5+C19*$C$7+C20+C32*$C$30</f>
        <v>15000</v>
      </c>
      <c r="D21" s="99" t="n">
        <f aca="false">D18*$C$5+D19*$C$7+D20+D32*$C$30</f>
        <v>415000</v>
      </c>
      <c r="E21" s="99" t="n">
        <f aca="false">E18*$C$5+E19*$C$7+E20+E32*$C$30</f>
        <v>415000</v>
      </c>
      <c r="F21" s="99" t="n">
        <f aca="false">F18*$C$5+F19*$C$7+F20+F32*$C$30</f>
        <v>2525000</v>
      </c>
      <c r="G21" s="99" t="n">
        <f aca="false">G18*$C$5+G19*$C$7+G20+G32*$C$30</f>
        <v>4735000</v>
      </c>
      <c r="H21" s="99" t="n">
        <f aca="false">H18*$C$5+H19*$C$7+H20+H32*$C$30</f>
        <v>6495000</v>
      </c>
      <c r="I21" s="99" t="n">
        <f aca="false">I18*$C$5+I19*$C$7+I20+I32*$C$30</f>
        <v>8140000</v>
      </c>
    </row>
    <row r="23" customFormat="false" ht="15" hidden="false" customHeight="true" outlineLevel="0" collapsed="false">
      <c r="B23" s="4" t="s">
        <v>488</v>
      </c>
      <c r="C23" s="4"/>
      <c r="D23" s="4"/>
      <c r="E23" s="4"/>
      <c r="F23" s="4"/>
      <c r="G23" s="4"/>
      <c r="H23" s="4"/>
      <c r="I23" s="4"/>
    </row>
    <row r="24" customFormat="false" ht="15" hidden="false" customHeight="true" outlineLevel="0" collapsed="false">
      <c r="B24" s="13" t="s">
        <v>469</v>
      </c>
      <c r="C24" s="83" t="n">
        <v>0</v>
      </c>
      <c r="D24" s="83" t="n">
        <v>1</v>
      </c>
      <c r="E24" s="83" t="n">
        <v>2</v>
      </c>
      <c r="F24" s="83" t="n">
        <v>3</v>
      </c>
      <c r="G24" s="83" t="n">
        <v>12</v>
      </c>
      <c r="H24" s="83" t="n">
        <v>20</v>
      </c>
      <c r="I24" s="83" t="n">
        <v>28</v>
      </c>
    </row>
    <row r="25" customFormat="false" ht="15" hidden="false" customHeight="true" outlineLevel="0" collapsed="false">
      <c r="B25" s="13" t="s">
        <v>499</v>
      </c>
      <c r="C25" s="83" t="n">
        <v>0</v>
      </c>
      <c r="D25" s="83" t="n">
        <v>0</v>
      </c>
      <c r="E25" s="83" t="n">
        <v>0</v>
      </c>
      <c r="F25" s="83" t="n">
        <v>1</v>
      </c>
      <c r="G25" s="83" t="n">
        <v>1</v>
      </c>
      <c r="H25" s="83" t="n">
        <v>1</v>
      </c>
      <c r="I25" s="83" t="n">
        <v>1</v>
      </c>
    </row>
    <row r="26" customFormat="false" ht="15" hidden="false" customHeight="true" outlineLevel="0" collapsed="false">
      <c r="B26" s="13" t="s">
        <v>500</v>
      </c>
      <c r="C26" s="52" t="n">
        <v>15000</v>
      </c>
      <c r="D26" s="52" t="n">
        <v>250000</v>
      </c>
      <c r="E26" s="52" t="n">
        <v>85000</v>
      </c>
      <c r="F26" s="52" t="n">
        <v>750000</v>
      </c>
      <c r="G26" s="52" t="n">
        <v>3000000</v>
      </c>
      <c r="H26" s="52" t="n">
        <v>4500000</v>
      </c>
      <c r="I26" s="52" t="n">
        <v>6000000</v>
      </c>
    </row>
    <row r="27" customFormat="false" ht="15" hidden="false" customHeight="true" outlineLevel="0" collapsed="false">
      <c r="B27" s="5" t="s">
        <v>501</v>
      </c>
      <c r="C27" s="99" t="n">
        <f aca="false">C24*$C$5+C25*$C$8+C26+C33*$C$30</f>
        <v>15000</v>
      </c>
      <c r="D27" s="99" t="n">
        <f aca="false">D24*$C$5+D25*$C$8+D26+D33*$C$30</f>
        <v>415000</v>
      </c>
      <c r="E27" s="99" t="n">
        <f aca="false">E24*$C$5+E25*$C$8+E26+E33*$C$30</f>
        <v>415000</v>
      </c>
      <c r="F27" s="99" t="n">
        <f aca="false">F24*$C$5+F25*$C$8+F26+F33*$C$30</f>
        <v>1680000</v>
      </c>
      <c r="G27" s="99" t="n">
        <f aca="false">G24*$C$5+G25*$C$8+G26+G33*$C$30</f>
        <v>5785000</v>
      </c>
      <c r="H27" s="99" t="n">
        <f aca="false">H24*$C$5+H25*$C$8+H26+H33*$C$30</f>
        <v>8790000</v>
      </c>
      <c r="I27" s="99" t="n">
        <f aca="false">I24*$C$5+I25*$C$8+I26+I33*$C$30</f>
        <v>11795000</v>
      </c>
    </row>
    <row r="29" customFormat="false" ht="15" hidden="false" customHeight="true" outlineLevel="0" collapsed="false">
      <c r="B29" s="4" t="s">
        <v>502</v>
      </c>
      <c r="C29" s="4"/>
      <c r="D29" s="4"/>
      <c r="E29" s="4"/>
      <c r="F29" s="4"/>
      <c r="G29" s="4"/>
      <c r="H29" s="4"/>
      <c r="I29" s="4"/>
    </row>
    <row r="30" customFormat="false" ht="15" hidden="false" customHeight="true" outlineLevel="0" collapsed="false">
      <c r="B30" s="13" t="s">
        <v>503</v>
      </c>
      <c r="C30" s="52" t="n">
        <v>185000</v>
      </c>
    </row>
    <row r="31" customFormat="false" ht="15" hidden="false" customHeight="true" outlineLevel="0" collapsed="false">
      <c r="B31" s="13" t="s">
        <v>361</v>
      </c>
      <c r="C31" s="83" t="n">
        <v>0</v>
      </c>
      <c r="D31" s="83" t="n">
        <v>0</v>
      </c>
      <c r="E31" s="83" t="n">
        <v>0</v>
      </c>
      <c r="F31" s="83" t="n">
        <v>0</v>
      </c>
      <c r="G31" s="83" t="n">
        <v>0</v>
      </c>
      <c r="H31" s="83" t="n">
        <v>0</v>
      </c>
      <c r="I31" s="83" t="n">
        <v>0</v>
      </c>
    </row>
    <row r="32" customFormat="false" ht="15" hidden="false" customHeight="true" outlineLevel="0" collapsed="false">
      <c r="B32" s="13" t="s">
        <v>362</v>
      </c>
      <c r="C32" s="83" t="n">
        <v>0</v>
      </c>
      <c r="D32" s="83" t="n">
        <v>0</v>
      </c>
      <c r="E32" s="83" t="n">
        <v>0</v>
      </c>
      <c r="F32" s="83" t="n">
        <v>2</v>
      </c>
      <c r="G32" s="83" t="n">
        <v>3</v>
      </c>
      <c r="H32" s="83" t="n">
        <v>3</v>
      </c>
      <c r="I32" s="83" t="n">
        <v>4</v>
      </c>
    </row>
    <row r="33" customFormat="false" ht="15" hidden="false" customHeight="true" outlineLevel="0" collapsed="false">
      <c r="B33" s="13" t="s">
        <v>363</v>
      </c>
      <c r="C33" s="83" t="n">
        <v>0</v>
      </c>
      <c r="D33" s="83" t="n">
        <v>0</v>
      </c>
      <c r="E33" s="83" t="n">
        <v>0</v>
      </c>
      <c r="F33" s="83" t="n">
        <v>1</v>
      </c>
      <c r="G33" s="83" t="n">
        <v>3</v>
      </c>
      <c r="H33" s="83" t="n">
        <v>4</v>
      </c>
      <c r="I33" s="83" t="n">
        <v>5</v>
      </c>
    </row>
  </sheetData>
  <mergeCells count="7">
    <mergeCell ref="B1:I1"/>
    <mergeCell ref="B2:I2"/>
    <mergeCell ref="B4:D4"/>
    <mergeCell ref="B11:I11"/>
    <mergeCell ref="B17:I17"/>
    <mergeCell ref="B23:I23"/>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9" min="3" style="1" width="12"/>
  </cols>
  <sheetData>
    <row r="1" customFormat="false" ht="19.5" hidden="false" customHeight="true" outlineLevel="0" collapsed="false">
      <c r="B1" s="2" t="s">
        <v>504</v>
      </c>
      <c r="C1" s="2"/>
      <c r="D1" s="2"/>
      <c r="E1" s="2"/>
      <c r="F1" s="2"/>
      <c r="G1" s="2"/>
      <c r="H1" s="2"/>
      <c r="I1" s="2"/>
    </row>
    <row r="2" customFormat="false" ht="15" hidden="false" customHeight="true" outlineLevel="0" collapsed="false">
      <c r="B2" s="3" t="s">
        <v>505</v>
      </c>
      <c r="C2" s="3"/>
      <c r="D2" s="3"/>
      <c r="E2" s="3"/>
      <c r="F2" s="3"/>
      <c r="G2" s="3"/>
      <c r="H2" s="3"/>
      <c r="I2" s="3"/>
    </row>
    <row r="4" customFormat="false" ht="15" hidden="false" customHeight="true" outlineLevel="0" collapsed="false">
      <c r="B4" s="4" t="s">
        <v>506</v>
      </c>
      <c r="C4" s="4"/>
      <c r="D4" s="4"/>
      <c r="E4" s="4"/>
      <c r="F4" s="4"/>
      <c r="G4" s="4"/>
      <c r="H4" s="4"/>
      <c r="I4" s="4"/>
    </row>
    <row r="5" customFormat="false" ht="15" hidden="false" customHeight="true" outlineLevel="0" collapsed="false">
      <c r="B5" s="11"/>
      <c r="C5" s="12" t="s">
        <v>13</v>
      </c>
      <c r="D5" s="12" t="s">
        <v>14</v>
      </c>
      <c r="E5" s="12" t="s">
        <v>15</v>
      </c>
      <c r="F5" s="12" t="s">
        <v>16</v>
      </c>
      <c r="G5" s="12" t="s">
        <v>17</v>
      </c>
      <c r="H5" s="12" t="s">
        <v>18</v>
      </c>
      <c r="I5" s="12" t="s">
        <v>19</v>
      </c>
    </row>
    <row r="6" customFormat="false" ht="15" hidden="false" customHeight="true" outlineLevel="0" collapsed="false">
      <c r="B6" s="13" t="s">
        <v>507</v>
      </c>
      <c r="C6" s="52" t="n">
        <v>250000</v>
      </c>
      <c r="D6" s="52" t="n">
        <v>275000</v>
      </c>
      <c r="E6" s="52" t="n">
        <v>300000</v>
      </c>
      <c r="F6" s="52" t="n">
        <v>300000</v>
      </c>
      <c r="G6" s="52" t="n">
        <v>300000</v>
      </c>
      <c r="H6" s="52" t="n">
        <v>300000</v>
      </c>
      <c r="I6" s="52" t="n">
        <v>300000</v>
      </c>
    </row>
    <row r="7" customFormat="false" ht="15" hidden="false" customHeight="true" outlineLevel="0" collapsed="false">
      <c r="B7" s="13" t="s">
        <v>508</v>
      </c>
      <c r="C7" s="52" t="n">
        <v>250000</v>
      </c>
      <c r="D7" s="52" t="n">
        <v>275000</v>
      </c>
      <c r="E7" s="52" t="n">
        <v>300000</v>
      </c>
      <c r="F7" s="52" t="n">
        <v>300000</v>
      </c>
      <c r="G7" s="52" t="n">
        <v>300000</v>
      </c>
      <c r="H7" s="52" t="n">
        <v>300000</v>
      </c>
      <c r="I7" s="52" t="n">
        <v>300000</v>
      </c>
    </row>
    <row r="8" customFormat="false" ht="15" hidden="false" customHeight="true" outlineLevel="0" collapsed="false">
      <c r="B8" s="13" t="s">
        <v>509</v>
      </c>
      <c r="C8" s="52" t="n">
        <v>250000</v>
      </c>
      <c r="D8" s="52" t="n">
        <v>275000</v>
      </c>
      <c r="E8" s="52" t="n">
        <v>300000</v>
      </c>
      <c r="F8" s="52" t="n">
        <v>300000</v>
      </c>
      <c r="G8" s="52" t="n">
        <v>300000</v>
      </c>
      <c r="H8" s="52" t="n">
        <v>300000</v>
      </c>
      <c r="I8" s="52" t="n">
        <v>300000</v>
      </c>
    </row>
    <row r="9" customFormat="false" ht="15" hidden="false" customHeight="true" outlineLevel="0" collapsed="false">
      <c r="B9" s="41" t="s">
        <v>510</v>
      </c>
      <c r="C9" s="100" t="n">
        <v>400000</v>
      </c>
      <c r="D9" s="100" t="n">
        <v>400000</v>
      </c>
      <c r="E9" s="100" t="n">
        <v>400000</v>
      </c>
      <c r="F9" s="100" t="n">
        <v>400000</v>
      </c>
      <c r="G9" s="100" t="n">
        <v>400000</v>
      </c>
      <c r="H9" s="100" t="n">
        <v>400000</v>
      </c>
      <c r="I9" s="100" t="n">
        <v>400000</v>
      </c>
    </row>
    <row r="10" customFormat="false" ht="15" hidden="false" customHeight="true" outlineLevel="0" collapsed="false">
      <c r="B10" s="13" t="s">
        <v>511</v>
      </c>
      <c r="C10" s="52" t="n">
        <v>600000</v>
      </c>
      <c r="D10" s="52" t="n">
        <v>1000000</v>
      </c>
      <c r="E10" s="52" t="n">
        <v>275000</v>
      </c>
      <c r="F10" s="52" t="n">
        <v>275000</v>
      </c>
      <c r="G10" s="52" t="n">
        <v>275000</v>
      </c>
      <c r="H10" s="52" t="n">
        <v>275000</v>
      </c>
      <c r="I10" s="52" t="n">
        <v>275000</v>
      </c>
    </row>
    <row r="11" customFormat="false" ht="15" hidden="false" customHeight="true" outlineLevel="0" collapsed="false">
      <c r="B11" s="32" t="s">
        <v>512</v>
      </c>
      <c r="C11" s="80" t="n">
        <f aca="false">AVERAGE(C10:D10)</f>
        <v>800000</v>
      </c>
      <c r="D11" s="80"/>
      <c r="E11" s="80" t="n">
        <f aca="false">$C$9-E7</f>
        <v>100000</v>
      </c>
      <c r="F11" s="1" t="n">
        <f aca="false">$C$9-F7</f>
        <v>100000</v>
      </c>
      <c r="G11" s="1" t="n">
        <f aca="false">$C$9-G7</f>
        <v>100000</v>
      </c>
      <c r="H11" s="1" t="n">
        <f aca="false">$C$9-H7</f>
        <v>100000</v>
      </c>
      <c r="I11" s="1" t="n">
        <f aca="false">$C$9-I7</f>
        <v>100000</v>
      </c>
    </row>
    <row r="12" customFormat="false" ht="15" hidden="false" customHeight="true" outlineLevel="0" collapsed="false">
      <c r="B12" s="32" t="s">
        <v>513</v>
      </c>
      <c r="C12" s="101" t="str">
        <f aca="false">TEXT(7*C10-SUM(C7:I7),"$#,##0,,")&amp;"M  -  "&amp;TEXT(7*D10-SUM(C7:I7),"$#,##0,,")&amp;"M"</f>
        <v>$2M  -  $5M</v>
      </c>
    </row>
    <row r="13" customFormat="false" ht="27.75" hidden="false" customHeight="true" outlineLevel="0" collapsed="false">
      <c r="B13" s="47" t="s">
        <v>514</v>
      </c>
      <c r="C13" s="47"/>
      <c r="D13" s="47"/>
      <c r="E13" s="47"/>
      <c r="F13" s="47"/>
      <c r="G13" s="47"/>
      <c r="H13" s="47"/>
      <c r="I13" s="47"/>
    </row>
    <row r="14" customFormat="false" ht="15" hidden="false" customHeight="true" outlineLevel="0" collapsed="false">
      <c r="B14" s="4" t="s">
        <v>515</v>
      </c>
      <c r="C14" s="4"/>
      <c r="D14" s="4"/>
      <c r="E14" s="4"/>
      <c r="F14" s="4"/>
      <c r="G14" s="4"/>
      <c r="H14" s="4"/>
      <c r="I14" s="4"/>
    </row>
    <row r="15" customFormat="false" ht="15" hidden="false" customHeight="true" outlineLevel="0" collapsed="false">
      <c r="B15" s="13" t="s">
        <v>516</v>
      </c>
      <c r="C15" s="52" t="n">
        <v>0</v>
      </c>
      <c r="D15" s="52" t="n">
        <v>0</v>
      </c>
      <c r="E15" s="52" t="n">
        <v>0</v>
      </c>
      <c r="F15" s="52" t="n">
        <v>0</v>
      </c>
      <c r="G15" s="52" t="n">
        <v>230000</v>
      </c>
      <c r="H15" s="52" t="n">
        <v>245000</v>
      </c>
      <c r="I15" s="52" t="n">
        <v>260000</v>
      </c>
    </row>
    <row r="16" customFormat="false" ht="15" hidden="false" customHeight="true" outlineLevel="0" collapsed="false">
      <c r="B16" s="13" t="s">
        <v>517</v>
      </c>
      <c r="C16" s="52" t="n">
        <v>0</v>
      </c>
      <c r="D16" s="52" t="n">
        <v>0</v>
      </c>
      <c r="E16" s="52" t="n">
        <v>0</v>
      </c>
      <c r="F16" s="52" t="n">
        <v>0</v>
      </c>
      <c r="G16" s="52" t="n">
        <v>235000</v>
      </c>
      <c r="H16" s="52" t="n">
        <v>255000</v>
      </c>
      <c r="I16" s="52" t="n">
        <v>275000</v>
      </c>
    </row>
    <row r="18" customFormat="false" ht="15" hidden="false" customHeight="true" outlineLevel="0" collapsed="false">
      <c r="B18" s="4" t="s">
        <v>518</v>
      </c>
      <c r="C18" s="4"/>
      <c r="D18" s="4"/>
      <c r="E18" s="4"/>
      <c r="F18" s="4"/>
      <c r="G18" s="4"/>
      <c r="H18" s="4"/>
      <c r="I18" s="4"/>
    </row>
    <row r="19" customFormat="false" ht="15" hidden="false" customHeight="true" outlineLevel="0" collapsed="false">
      <c r="B19" s="13" t="s">
        <v>519</v>
      </c>
      <c r="C19" s="52" t="n">
        <f aca="false">'COGS &amp; Overhead Build'!C24</f>
        <v>114400</v>
      </c>
      <c r="D19" s="52" t="n">
        <f aca="false">'COGS &amp; Overhead Build'!D24</f>
        <v>115700</v>
      </c>
      <c r="E19" s="52" t="n">
        <v>165000</v>
      </c>
      <c r="F19" s="52" t="n">
        <v>260000</v>
      </c>
      <c r="G19" s="52" t="n">
        <v>360000</v>
      </c>
      <c r="H19" s="52" t="n">
        <v>470000</v>
      </c>
      <c r="I19" s="52" t="n">
        <v>590000</v>
      </c>
    </row>
    <row r="20" customFormat="false" ht="15" hidden="false" customHeight="true" outlineLevel="0" collapsed="false">
      <c r="B20" s="13" t="s">
        <v>520</v>
      </c>
      <c r="C20" s="52" t="n">
        <f aca="false">'COGS &amp; Overhead Build'!C24</f>
        <v>114400</v>
      </c>
      <c r="D20" s="52" t="n">
        <f aca="false">'COGS &amp; Overhead Build'!D24</f>
        <v>115700</v>
      </c>
      <c r="E20" s="52" t="n">
        <v>165000</v>
      </c>
      <c r="F20" s="52" t="n">
        <v>480000</v>
      </c>
      <c r="G20" s="52" t="n">
        <v>850000</v>
      </c>
      <c r="H20" s="52" t="n">
        <v>1250000</v>
      </c>
      <c r="I20" s="52" t="n">
        <v>1650000</v>
      </c>
    </row>
    <row r="21" customFormat="false" ht="15" hidden="false" customHeight="true" outlineLevel="0" collapsed="false">
      <c r="B21" s="13" t="s">
        <v>521</v>
      </c>
      <c r="C21" s="52" t="n">
        <f aca="false">'COGS &amp; Overhead Build'!C24</f>
        <v>114400</v>
      </c>
      <c r="D21" s="52" t="n">
        <f aca="false">'COGS &amp; Overhead Build'!D24</f>
        <v>115700</v>
      </c>
      <c r="E21" s="52" t="n">
        <v>165000</v>
      </c>
      <c r="F21" s="52" t="n">
        <v>600000</v>
      </c>
      <c r="G21" s="52" t="n">
        <v>1150000</v>
      </c>
      <c r="H21" s="52" t="n">
        <v>1800000</v>
      </c>
      <c r="I21" s="52" t="n">
        <v>2350000</v>
      </c>
    </row>
    <row r="23" customFormat="false" ht="15" hidden="false" customHeight="true" outlineLevel="0" collapsed="false">
      <c r="B23" s="4" t="s">
        <v>522</v>
      </c>
      <c r="C23" s="4"/>
      <c r="D23" s="4"/>
      <c r="E23" s="4"/>
      <c r="F23" s="4"/>
      <c r="G23" s="4"/>
      <c r="H23" s="4"/>
      <c r="I23" s="4"/>
    </row>
    <row r="24" customFormat="false" ht="15" hidden="false" customHeight="true" outlineLevel="0" collapsed="false">
      <c r="B24" s="5" t="s">
        <v>523</v>
      </c>
      <c r="C24" s="28" t="n">
        <f aca="false">C6+C19+C29</f>
        <v>429400</v>
      </c>
      <c r="D24" s="28" t="n">
        <f aca="false">D6+D19+D29</f>
        <v>460700</v>
      </c>
      <c r="E24" s="28" t="n">
        <f aca="false">E6+E19</f>
        <v>465000</v>
      </c>
      <c r="F24" s="28" t="n">
        <f aca="false">F6+F19</f>
        <v>560000</v>
      </c>
      <c r="G24" s="28" t="n">
        <f aca="false">G6+G19</f>
        <v>660000</v>
      </c>
      <c r="H24" s="28" t="n">
        <f aca="false">H6+H19</f>
        <v>770000</v>
      </c>
      <c r="I24" s="28" t="n">
        <f aca="false">I6+I19</f>
        <v>890000</v>
      </c>
    </row>
    <row r="25" customFormat="false" ht="15" hidden="false" customHeight="true" outlineLevel="0" collapsed="false">
      <c r="B25" s="5" t="s">
        <v>524</v>
      </c>
      <c r="C25" s="28" t="n">
        <f aca="false">C7+C15+C20+C29</f>
        <v>429400</v>
      </c>
      <c r="D25" s="28" t="n">
        <f aca="false">D7+D15+D20+D29</f>
        <v>460700</v>
      </c>
      <c r="E25" s="28" t="n">
        <f aca="false">E7+E15+E20</f>
        <v>465000</v>
      </c>
      <c r="F25" s="28" t="n">
        <f aca="false">F7+F15+F20</f>
        <v>780000</v>
      </c>
      <c r="G25" s="28" t="n">
        <f aca="false">G7+G15+G20</f>
        <v>1380000</v>
      </c>
      <c r="H25" s="28" t="n">
        <f aca="false">H7+H15+H20</f>
        <v>1795000</v>
      </c>
      <c r="I25" s="28" t="n">
        <f aca="false">I7+I15+I20</f>
        <v>2210000</v>
      </c>
    </row>
    <row r="26" customFormat="false" ht="15" hidden="false" customHeight="true" outlineLevel="0" collapsed="false">
      <c r="B26" s="5" t="s">
        <v>525</v>
      </c>
      <c r="C26" s="28" t="n">
        <f aca="false">C8+C16+C21+C29</f>
        <v>429400</v>
      </c>
      <c r="D26" s="28" t="n">
        <f aca="false">D8+D16+D21+D29</f>
        <v>460700</v>
      </c>
      <c r="E26" s="28" t="n">
        <f aca="false">E8+E16+E21</f>
        <v>465000</v>
      </c>
      <c r="F26" s="28" t="n">
        <f aca="false">F8+F16+F21</f>
        <v>900000</v>
      </c>
      <c r="G26" s="28" t="n">
        <f aca="false">G8+G16+G21</f>
        <v>1685000</v>
      </c>
      <c r="H26" s="28" t="n">
        <f aca="false">H8+H16+H21</f>
        <v>2355000</v>
      </c>
      <c r="I26" s="28" t="n">
        <f aca="false">I8+I16+I21</f>
        <v>2925000</v>
      </c>
    </row>
    <row r="28" customFormat="false" ht="15" hidden="false" customHeight="true" outlineLevel="0" collapsed="false">
      <c r="B28" s="4" t="s">
        <v>526</v>
      </c>
      <c r="C28" s="4"/>
      <c r="D28" s="4"/>
      <c r="E28" s="4"/>
      <c r="F28" s="4"/>
      <c r="G28" s="4"/>
      <c r="H28" s="4"/>
      <c r="I28" s="4"/>
    </row>
    <row r="29" customFormat="false" ht="15" hidden="false" customHeight="true" outlineLevel="0" collapsed="false">
      <c r="B29" s="13" t="s">
        <v>527</v>
      </c>
      <c r="C29" s="52" t="n">
        <v>65000</v>
      </c>
      <c r="D29" s="52" t="n">
        <v>70000</v>
      </c>
      <c r="E29" s="1" t="n">
        <v>73000</v>
      </c>
      <c r="F29" s="1" t="n">
        <v>76000</v>
      </c>
      <c r="G29" s="1" t="n">
        <v>80000</v>
      </c>
      <c r="H29" s="1" t="n">
        <v>84000</v>
      </c>
      <c r="I29" s="1" t="n">
        <v>88000</v>
      </c>
    </row>
    <row r="30" customFormat="false" ht="15" hidden="false" customHeight="true" outlineLevel="0" collapsed="false">
      <c r="B30" s="13" t="s">
        <v>528</v>
      </c>
      <c r="C30" s="54" t="n">
        <f aca="false">C6/'WC &amp; Capex'!C15</f>
        <v>0.716845878136201</v>
      </c>
    </row>
    <row r="31" customFormat="false" ht="15" hidden="false" customHeight="true" outlineLevel="0" collapsed="false">
      <c r="B31" s="13" t="s">
        <v>529</v>
      </c>
      <c r="C31" s="22" t="n">
        <f aca="false">SUM(C6:E6)</f>
        <v>825000</v>
      </c>
    </row>
    <row r="32" customFormat="false" ht="15" hidden="false" customHeight="true" outlineLevel="0" collapsed="false">
      <c r="B32" s="13" t="s">
        <v>530</v>
      </c>
      <c r="C32" s="54" t="n">
        <f aca="false">C31/1000000</f>
        <v>0.825</v>
      </c>
    </row>
    <row r="33" customFormat="false" ht="42" hidden="false" customHeight="true" outlineLevel="0" collapsed="false">
      <c r="B33" s="10" t="s">
        <v>531</v>
      </c>
      <c r="C33" s="10"/>
      <c r="D33" s="10"/>
      <c r="E33" s="10"/>
      <c r="F33" s="10"/>
      <c r="G33" s="10"/>
      <c r="H33" s="10"/>
      <c r="I33" s="10"/>
    </row>
  </sheetData>
  <mergeCells count="9">
    <mergeCell ref="B1:I1"/>
    <mergeCell ref="B2:I2"/>
    <mergeCell ref="B4:I4"/>
    <mergeCell ref="B13:I13"/>
    <mergeCell ref="B14:I14"/>
    <mergeCell ref="B18:I18"/>
    <mergeCell ref="B23:I23"/>
    <mergeCell ref="B28:I28"/>
    <mergeCell ref="B33:I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2"/>
    <col collapsed="false" customWidth="true" hidden="false" outlineLevel="0" max="5" min="3" style="1" width="13"/>
  </cols>
  <sheetData>
    <row r="1" customFormat="false" ht="19.5" hidden="false" customHeight="true" outlineLevel="0" collapsed="false">
      <c r="B1" s="2" t="s">
        <v>532</v>
      </c>
      <c r="C1" s="2"/>
      <c r="D1" s="2"/>
    </row>
    <row r="2" customFormat="false" ht="15" hidden="false" customHeight="true" outlineLevel="0" collapsed="false">
      <c r="B2" s="3" t="s">
        <v>533</v>
      </c>
      <c r="C2" s="3"/>
      <c r="D2" s="3"/>
    </row>
    <row r="4" customFormat="false" ht="15" hidden="false" customHeight="true" outlineLevel="0" collapsed="false">
      <c r="B4" s="11"/>
      <c r="C4" s="12" t="s">
        <v>13</v>
      </c>
      <c r="D4" s="12" t="s">
        <v>14</v>
      </c>
    </row>
    <row r="6" customFormat="false" ht="15" hidden="false" customHeight="true" outlineLevel="0" collapsed="false">
      <c r="B6" s="4" t="s">
        <v>534</v>
      </c>
      <c r="C6" s="4"/>
      <c r="D6" s="4"/>
    </row>
    <row r="7" customFormat="false" ht="15" hidden="false" customHeight="true" outlineLevel="0" collapsed="false">
      <c r="B7" s="13" t="s">
        <v>535</v>
      </c>
      <c r="C7" s="52" t="n">
        <v>12000</v>
      </c>
      <c r="D7" s="52" t="n">
        <v>12000</v>
      </c>
    </row>
    <row r="8" customFormat="false" ht="15" hidden="false" customHeight="true" outlineLevel="0" collapsed="false">
      <c r="B8" s="5" t="s">
        <v>536</v>
      </c>
      <c r="C8" s="28" t="n">
        <f aca="false">SUM(C7:C7)</f>
        <v>12000</v>
      </c>
      <c r="D8" s="28" t="n">
        <f aca="false">SUM(D7:D7)</f>
        <v>12000</v>
      </c>
    </row>
    <row r="9" customFormat="false" ht="15" hidden="false" customHeight="true" outlineLevel="0" collapsed="false">
      <c r="B9" s="98" t="s">
        <v>537</v>
      </c>
      <c r="C9" s="102" t="n">
        <v>9000</v>
      </c>
    </row>
    <row r="10" customFormat="false" ht="15" hidden="false" customHeight="true" outlineLevel="0" collapsed="false">
      <c r="B10" s="32" t="s">
        <v>538</v>
      </c>
      <c r="C10" s="49" t="n">
        <f aca="false">(INDEX(Scenarios!$C$6:$I$8,2,1)-C8)/INDEX(Scenarios!$C$6:$I$8,2,1)</f>
        <v>0.965591397849462</v>
      </c>
      <c r="D10" s="49" t="n">
        <f aca="false">(INDEX(Scenarios!$C$6:$I$8,2,2)-D8)/INDEX(Scenarios!$C$6:$I$8,2,2)</f>
        <v>0.991058955015367</v>
      </c>
    </row>
    <row r="11" customFormat="false" ht="39.75" hidden="false" customHeight="true" outlineLevel="0" collapsed="false">
      <c r="B11" s="47" t="s">
        <v>539</v>
      </c>
      <c r="C11" s="47"/>
      <c r="D11" s="47"/>
    </row>
    <row r="13" customFormat="false" ht="15" hidden="false" customHeight="true" outlineLevel="0" collapsed="false">
      <c r="B13" s="4" t="s">
        <v>540</v>
      </c>
      <c r="C13" s="4"/>
      <c r="D13" s="4"/>
    </row>
    <row r="14" customFormat="false" ht="15" hidden="false" customHeight="true" outlineLevel="0" collapsed="false">
      <c r="B14" s="13" t="s">
        <v>541</v>
      </c>
      <c r="C14" s="52" t="n">
        <v>36000</v>
      </c>
      <c r="D14" s="52" t="n">
        <v>36000</v>
      </c>
    </row>
    <row r="15" customFormat="false" ht="15" hidden="false" customHeight="true" outlineLevel="0" collapsed="false">
      <c r="B15" s="13" t="s">
        <v>542</v>
      </c>
      <c r="C15" s="52" t="n">
        <v>5000</v>
      </c>
      <c r="D15" s="52" t="n">
        <v>5000</v>
      </c>
    </row>
    <row r="16" customFormat="false" ht="15" hidden="false" customHeight="true" outlineLevel="0" collapsed="false">
      <c r="B16" s="13" t="s">
        <v>543</v>
      </c>
      <c r="C16" s="52" t="n">
        <v>16000</v>
      </c>
      <c r="D16" s="52" t="n">
        <v>17000</v>
      </c>
    </row>
    <row r="17" customFormat="false" ht="15" hidden="false" customHeight="true" outlineLevel="0" collapsed="false">
      <c r="B17" s="13" t="s">
        <v>544</v>
      </c>
      <c r="C17" s="52" t="n">
        <v>0</v>
      </c>
      <c r="D17" s="52" t="n">
        <v>0</v>
      </c>
    </row>
    <row r="18" customFormat="false" ht="15" hidden="false" customHeight="true" outlineLevel="0" collapsed="false">
      <c r="B18" s="13" t="s">
        <v>545</v>
      </c>
      <c r="C18" s="52" t="n">
        <v>5000</v>
      </c>
      <c r="D18" s="52" t="n">
        <v>5000</v>
      </c>
    </row>
    <row r="19" customFormat="false" ht="15" hidden="false" customHeight="true" outlineLevel="0" collapsed="false">
      <c r="B19" s="13" t="s">
        <v>546</v>
      </c>
      <c r="C19" s="52" t="n">
        <v>12000</v>
      </c>
      <c r="D19" s="52" t="n">
        <v>8000</v>
      </c>
    </row>
    <row r="20" customFormat="false" ht="15" hidden="false" customHeight="true" outlineLevel="0" collapsed="false">
      <c r="B20" s="13" t="s">
        <v>547</v>
      </c>
      <c r="C20" s="52" t="n">
        <v>4000</v>
      </c>
      <c r="D20" s="52" t="n">
        <v>5000</v>
      </c>
    </row>
    <row r="21" customFormat="false" ht="15" hidden="false" customHeight="true" outlineLevel="0" collapsed="false">
      <c r="B21" s="13" t="s">
        <v>548</v>
      </c>
      <c r="C21" s="52" t="n">
        <v>3000</v>
      </c>
      <c r="D21" s="52" t="n">
        <v>4500</v>
      </c>
    </row>
    <row r="22" customFormat="false" ht="15" hidden="false" customHeight="true" outlineLevel="0" collapsed="false">
      <c r="B22" s="13" t="s">
        <v>549</v>
      </c>
      <c r="C22" s="52" t="n">
        <v>1000</v>
      </c>
      <c r="D22" s="52" t="n">
        <v>1000</v>
      </c>
    </row>
    <row r="23" customFormat="false" ht="15" hidden="false" customHeight="true" outlineLevel="0" collapsed="false">
      <c r="B23" s="13" t="s">
        <v>550</v>
      </c>
      <c r="C23" s="103" t="n">
        <f aca="false">C33*C34</f>
        <v>32400</v>
      </c>
      <c r="D23" s="103" t="n">
        <f aca="false">D33*D34</f>
        <v>34200</v>
      </c>
    </row>
    <row r="24" customFormat="false" ht="15" hidden="false" customHeight="true" outlineLevel="0" collapsed="false">
      <c r="B24" s="5" t="s">
        <v>551</v>
      </c>
      <c r="C24" s="28" t="n">
        <f aca="false">SUM(C14:C23)</f>
        <v>114400</v>
      </c>
      <c r="D24" s="28" t="n">
        <f aca="false">SUM(D14:D23)</f>
        <v>115700</v>
      </c>
    </row>
    <row r="25" customFormat="false" ht="15" hidden="false" customHeight="true" outlineLevel="0" collapsed="false">
      <c r="B25" s="32" t="s">
        <v>552</v>
      </c>
      <c r="C25" s="80" t="n">
        <f aca="false">C24-35000</f>
        <v>79400</v>
      </c>
      <c r="D25" s="80" t="n">
        <f aca="false">D24-80000</f>
        <v>35700</v>
      </c>
    </row>
    <row r="27" customFormat="false" ht="15" hidden="false" customHeight="true" outlineLevel="0" collapsed="false">
      <c r="B27" s="4" t="s">
        <v>553</v>
      </c>
      <c r="C27" s="4"/>
      <c r="D27" s="4"/>
    </row>
    <row r="28" customFormat="false" ht="15" hidden="false" customHeight="true" outlineLevel="0" collapsed="false">
      <c r="B28" s="13" t="s">
        <v>554</v>
      </c>
      <c r="C28" s="52" t="n">
        <v>10000</v>
      </c>
      <c r="D28" s="52" t="n">
        <v>3000</v>
      </c>
    </row>
    <row r="29" customFormat="false" ht="15" hidden="false" customHeight="true" outlineLevel="0" collapsed="false">
      <c r="B29" s="5" t="s">
        <v>555</v>
      </c>
      <c r="C29" s="101" t="n">
        <f aca="false">C28</f>
        <v>10000</v>
      </c>
      <c r="D29" s="101" t="n">
        <f aca="false">D28</f>
        <v>3000</v>
      </c>
    </row>
    <row r="32" customFormat="false" ht="15" hidden="false" customHeight="true" outlineLevel="0" collapsed="false">
      <c r="B32" s="104" t="s">
        <v>556</v>
      </c>
    </row>
    <row r="33" customFormat="false" ht="15" hidden="false" customHeight="true" outlineLevel="0" collapsed="false">
      <c r="B33" s="13" t="s">
        <v>557</v>
      </c>
      <c r="C33" s="83" t="n">
        <v>36</v>
      </c>
      <c r="D33" s="83" t="n">
        <v>36</v>
      </c>
    </row>
    <row r="34" customFormat="false" ht="15" hidden="false" customHeight="true" outlineLevel="0" collapsed="false">
      <c r="B34" s="13" t="s">
        <v>558</v>
      </c>
      <c r="C34" s="52" t="n">
        <v>900</v>
      </c>
      <c r="D34" s="52" t="n">
        <v>950</v>
      </c>
    </row>
    <row r="49" customFormat="false" ht="15" hidden="false" customHeight="true" outlineLevel="0" collapsed="false">
      <c r="B49" s="13" t="s">
        <v>559</v>
      </c>
      <c r="C49" s="83" t="n">
        <v>999</v>
      </c>
      <c r="D49" s="83" t="n">
        <v>60</v>
      </c>
      <c r="E49" s="83" t="n">
        <v>60</v>
      </c>
      <c r="F49" s="83" t="n">
        <v>70</v>
      </c>
      <c r="G49" s="83" t="n">
        <v>80</v>
      </c>
      <c r="H49" s="83" t="n">
        <v>90</v>
      </c>
      <c r="I49" s="83" t="n">
        <v>100</v>
      </c>
    </row>
    <row r="50" customFormat="false" ht="15" hidden="false" customHeight="true" outlineLevel="0" collapsed="false">
      <c r="B50" s="13" t="s">
        <v>560</v>
      </c>
      <c r="C50" s="52" t="n">
        <v>120000</v>
      </c>
    </row>
    <row r="52" customFormat="false" ht="15" hidden="false" customHeight="true" outlineLevel="0" collapsed="false">
      <c r="B52" s="4" t="s">
        <v>561</v>
      </c>
      <c r="C52" s="4"/>
      <c r="D52" s="4"/>
      <c r="E52" s="4"/>
      <c r="F52" s="4"/>
      <c r="G52" s="4"/>
      <c r="H52" s="4"/>
      <c r="I52" s="4"/>
    </row>
    <row r="53" customFormat="false" ht="39.75" hidden="false" customHeight="true" outlineLevel="0" collapsed="false">
      <c r="B53" s="17" t="s">
        <v>562</v>
      </c>
      <c r="C53" s="17"/>
      <c r="D53" s="17"/>
      <c r="E53" s="17"/>
      <c r="F53" s="17"/>
      <c r="G53" s="17"/>
      <c r="H53" s="17"/>
      <c r="I53" s="17"/>
    </row>
    <row r="54" customFormat="false" ht="15" hidden="false" customHeight="true" outlineLevel="0" collapsed="false">
      <c r="B54" s="11"/>
      <c r="C54" s="12" t="s">
        <v>13</v>
      </c>
      <c r="D54" s="12" t="s">
        <v>14</v>
      </c>
      <c r="E54" s="12" t="s">
        <v>15</v>
      </c>
      <c r="F54" s="12" t="s">
        <v>16</v>
      </c>
      <c r="G54" s="12" t="s">
        <v>17</v>
      </c>
      <c r="H54" s="12" t="s">
        <v>18</v>
      </c>
      <c r="I54" s="12" t="s">
        <v>19</v>
      </c>
    </row>
    <row r="55" customFormat="false" ht="15" hidden="false" customHeight="true" outlineLevel="0" collapsed="false">
      <c r="B55" s="13" t="s">
        <v>563</v>
      </c>
      <c r="C55" s="105" t="n">
        <f aca="false">'Revenue Build - Pressure Test'!C37</f>
        <v>10</v>
      </c>
      <c r="D55" s="105" t="n">
        <f aca="false">'Revenue Build - Pressure Test'!D37</f>
        <v>33</v>
      </c>
      <c r="E55" s="105" t="n">
        <f aca="false">'Revenue Build - Pressure Test'!E37</f>
        <v>69</v>
      </c>
      <c r="F55" s="105" t="n">
        <f aca="false">'Revenue Build - Pressure Test'!F37</f>
        <v>204.1</v>
      </c>
      <c r="G55" s="105" t="n">
        <f aca="false">'Revenue Build - Pressure Test'!G37</f>
        <v>404.69</v>
      </c>
      <c r="H55" s="105" t="n">
        <f aca="false">'Revenue Build - Pressure Test'!H37</f>
        <v>644.221</v>
      </c>
      <c r="I55" s="105" t="n">
        <f aca="false">'Revenue Build - Pressure Test'!I37</f>
        <v>904.7989</v>
      </c>
    </row>
    <row r="56" customFormat="false" ht="15" hidden="false" customHeight="true" outlineLevel="0" collapsed="false">
      <c r="B56" s="13" t="s">
        <v>564</v>
      </c>
      <c r="C56" s="83" t="n">
        <v>999</v>
      </c>
      <c r="D56" s="83" t="n">
        <v>999</v>
      </c>
      <c r="E56" s="83" t="n">
        <v>12</v>
      </c>
      <c r="F56" s="83" t="n">
        <v>14</v>
      </c>
      <c r="G56" s="83" t="n">
        <v>16</v>
      </c>
      <c r="H56" s="83" t="n">
        <v>18</v>
      </c>
      <c r="I56" s="83" t="n">
        <v>20</v>
      </c>
    </row>
    <row r="57" customFormat="false" ht="15" hidden="false" customHeight="true" outlineLevel="0" collapsed="false">
      <c r="B57" s="13" t="s">
        <v>565</v>
      </c>
      <c r="C57" s="93" t="n">
        <v>0</v>
      </c>
      <c r="D57" s="93" t="n">
        <v>0</v>
      </c>
      <c r="E57" s="93" t="n">
        <f aca="false">ROUNDUP(E55/E56,0)</f>
        <v>6</v>
      </c>
      <c r="F57" s="93" t="n">
        <f aca="false">ROUNDUP(F55/F56,0)</f>
        <v>15</v>
      </c>
      <c r="G57" s="93" t="n">
        <f aca="false">ROUNDUP(G55/G56,0)</f>
        <v>26</v>
      </c>
      <c r="H57" s="93" t="n">
        <f aca="false">ROUNDUP(H55/H56,0)</f>
        <v>36</v>
      </c>
      <c r="I57" s="93" t="n">
        <f aca="false">ROUNDUP(I55/I56,0)</f>
        <v>46</v>
      </c>
    </row>
    <row r="58" customFormat="false" ht="15" hidden="false" customHeight="true" outlineLevel="0" collapsed="false">
      <c r="B58" s="13" t="s">
        <v>566</v>
      </c>
      <c r="C58" s="52" t="n">
        <v>95000</v>
      </c>
    </row>
    <row r="59" customFormat="false" ht="15" hidden="false" customHeight="true" outlineLevel="0" collapsed="false">
      <c r="B59" s="5" t="s">
        <v>567</v>
      </c>
      <c r="C59" s="28" t="n">
        <f aca="false">C57*$C$58</f>
        <v>0</v>
      </c>
      <c r="D59" s="28" t="n">
        <f aca="false">D57*$C$58</f>
        <v>0</v>
      </c>
      <c r="E59" s="28" t="n">
        <f aca="false">E57*$C$58</f>
        <v>570000</v>
      </c>
      <c r="F59" s="28" t="n">
        <f aca="false">F57*$C$58</f>
        <v>1425000</v>
      </c>
      <c r="G59" s="28" t="n">
        <f aca="false">G57*$C$58</f>
        <v>2470000</v>
      </c>
      <c r="H59" s="28" t="n">
        <f aca="false">H57*$C$58</f>
        <v>3420000</v>
      </c>
      <c r="I59" s="28" t="n">
        <f aca="false">I57*$C$58</f>
        <v>4370000</v>
      </c>
    </row>
    <row r="60" customFormat="false" ht="15" hidden="false" customHeight="true" outlineLevel="0" collapsed="false">
      <c r="B60" s="13" t="s">
        <v>568</v>
      </c>
      <c r="C60" s="84" t="n">
        <v>0</v>
      </c>
      <c r="D60" s="84" t="n">
        <f aca="false">MAX(1,ROUNDUP(D55/D49,0))</f>
        <v>1</v>
      </c>
      <c r="E60" s="84" t="n">
        <f aca="false">MAX(1,ROUNDUP(E55/E49,0))</f>
        <v>2</v>
      </c>
      <c r="F60" s="84" t="n">
        <f aca="false">MAX(1,ROUNDUP(F55/F49,0))</f>
        <v>3</v>
      </c>
      <c r="G60" s="84" t="n">
        <f aca="false">MAX(1,ROUNDUP(G55/G49,0))</f>
        <v>6</v>
      </c>
      <c r="H60" s="84" t="n">
        <f aca="false">MAX(1,ROUNDUP(H55/H49,0))</f>
        <v>8</v>
      </c>
      <c r="I60" s="84" t="n">
        <f aca="false">MAX(1,ROUNDUP(I55/I49,0))</f>
        <v>10</v>
      </c>
    </row>
    <row r="61" customFormat="false" ht="15" hidden="false" customHeight="true" outlineLevel="0" collapsed="false">
      <c r="B61" s="73" t="s">
        <v>569</v>
      </c>
      <c r="C61" s="75" t="n">
        <f aca="false">$C$7+C60*$C$50+C73</f>
        <v>12000</v>
      </c>
      <c r="D61" s="75" t="n">
        <f aca="false">$C$7+D60*$C$50+D73</f>
        <v>153600</v>
      </c>
      <c r="E61" s="75" t="n">
        <f aca="false">$C$7+E59+E60*$C$50+E73</f>
        <v>967800</v>
      </c>
      <c r="F61" s="75" t="n">
        <f aca="false">$C$7+F59+F60*$C$50+F73</f>
        <v>2118300</v>
      </c>
      <c r="G61" s="75" t="n">
        <f aca="false">$C$7+G59+G60*$C$50+G73</f>
        <v>3776200</v>
      </c>
      <c r="H61" s="75" t="n">
        <f aca="false">$C$7+H59+H60*$C$50+H73</f>
        <v>5180400</v>
      </c>
      <c r="I61" s="75" t="n">
        <f aca="false">$C$7+I59+I60*$C$50+I73</f>
        <v>6584600</v>
      </c>
    </row>
    <row r="62" customFormat="false" ht="15" hidden="false" customHeight="true" outlineLevel="0" collapsed="false">
      <c r="B62" s="32" t="s">
        <v>570</v>
      </c>
      <c r="C62" s="49" t="n">
        <f aca="false">(C55*0+INDEX(Scenarios!$C$6:$I$8,Control!$C$8,1)-C61)/INDEX(Scenarios!$C$6:$I$8,Control!$C$8,1)</f>
        <v>0.965591397849462</v>
      </c>
      <c r="D62" s="49" t="n">
        <f aca="false">(D55*0+INDEX(Scenarios!$C$6:$I$8,Control!$C$8,2)-D61)/INDEX(Scenarios!$C$6:$I$8,Control!$C$8,2)</f>
        <v>0.885554624196703</v>
      </c>
      <c r="E62" s="49" t="n">
        <f aca="false">(E55*0+INDEX(Scenarios!$C$6:$I$8,Control!$C$8,3)-E61)/INDEX(Scenarios!$C$6:$I$8,Control!$C$8,3)</f>
        <v>0.695420928402832</v>
      </c>
      <c r="F62" s="49" t="n">
        <f aca="false">(F55*0+INDEX(Scenarios!$C$6:$I$8,Control!$C$8,4)-F61)/INDEX(Scenarios!$C$6:$I$8,Control!$C$8,4)</f>
        <v>0.792096772214793</v>
      </c>
      <c r="G62" s="49" t="n">
        <f aca="false">(G55*0+INDEX(Scenarios!$C$6:$I$8,Control!$C$8,5)-G61)/INDEX(Scenarios!$C$6:$I$8,Control!$C$8,5)</f>
        <v>0.837178174709216</v>
      </c>
      <c r="H62" s="49" t="n">
        <f aca="false">(H55*0+INDEX(Scenarios!$C$6:$I$8,Control!$C$8,6)-H61)/INDEX(Scenarios!$C$6:$I$8,Control!$C$8,6)</f>
        <v>0.872407379759229</v>
      </c>
      <c r="I62" s="49" t="n">
        <f aca="false">(I55*0+INDEX(Scenarios!$C$6:$I$8,Control!$C$8,7)-I61)/INDEX(Scenarios!$C$6:$I$8,Control!$C$8,7)</f>
        <v>0.891310607776668</v>
      </c>
    </row>
    <row r="64" customFormat="false" ht="15" hidden="false" customHeight="true" outlineLevel="0" collapsed="false">
      <c r="B64" s="4" t="s">
        <v>571</v>
      </c>
      <c r="C64" s="4"/>
      <c r="D64" s="4"/>
      <c r="E64" s="4"/>
      <c r="F64" s="4"/>
      <c r="G64" s="4"/>
      <c r="H64" s="4"/>
      <c r="I64" s="4"/>
    </row>
    <row r="65" customFormat="false" ht="111.75" hidden="false" customHeight="true" outlineLevel="0" collapsed="false">
      <c r="B65" s="10" t="s">
        <v>572</v>
      </c>
      <c r="C65" s="10"/>
      <c r="D65" s="10"/>
      <c r="E65" s="10"/>
      <c r="F65" s="10"/>
      <c r="G65" s="10"/>
      <c r="H65" s="10"/>
      <c r="I65" s="10"/>
    </row>
    <row r="67" customFormat="false" ht="15" hidden="false" customHeight="true" outlineLevel="0" collapsed="false">
      <c r="B67" s="4" t="s">
        <v>573</v>
      </c>
      <c r="C67" s="4"/>
      <c r="D67" s="4"/>
      <c r="E67" s="4"/>
      <c r="F67" s="4"/>
      <c r="G67" s="4"/>
      <c r="H67" s="4"/>
      <c r="I67" s="4"/>
    </row>
    <row r="68" customFormat="false" ht="31.5" hidden="false" customHeight="true" outlineLevel="0" collapsed="false">
      <c r="B68" s="17" t="s">
        <v>574</v>
      </c>
      <c r="C68" s="17"/>
      <c r="D68" s="17"/>
      <c r="E68" s="17"/>
      <c r="F68" s="17"/>
      <c r="G68" s="17"/>
      <c r="H68" s="17"/>
      <c r="I68" s="17"/>
    </row>
    <row r="70" customFormat="false" ht="15" hidden="false" customHeight="true" outlineLevel="0" collapsed="false">
      <c r="B70" s="13" t="s">
        <v>575</v>
      </c>
      <c r="C70" s="56" t="n">
        <v>0.18</v>
      </c>
    </row>
    <row r="71" customFormat="false" ht="15" hidden="false" customHeight="true" outlineLevel="0" collapsed="false">
      <c r="B71" s="13" t="s">
        <v>576</v>
      </c>
      <c r="C71" s="93" t="n">
        <f aca="false">C57+C60</f>
        <v>0</v>
      </c>
      <c r="D71" s="93" t="n">
        <f aca="false">D57+D60</f>
        <v>1</v>
      </c>
      <c r="E71" s="93" t="n">
        <f aca="false">E57+E60</f>
        <v>8</v>
      </c>
      <c r="F71" s="93" t="n">
        <f aca="false">F57+F60</f>
        <v>18</v>
      </c>
      <c r="G71" s="93" t="n">
        <f aca="false">G57+G60</f>
        <v>32</v>
      </c>
      <c r="H71" s="93" t="n">
        <f aca="false">H57+H60</f>
        <v>44</v>
      </c>
      <c r="I71" s="93" t="n">
        <f aca="false">I57+I60</f>
        <v>56</v>
      </c>
    </row>
    <row r="72" customFormat="false" ht="15" hidden="false" customHeight="true" outlineLevel="0" collapsed="false">
      <c r="B72" s="13" t="s">
        <v>577</v>
      </c>
      <c r="C72" s="22" t="n">
        <f aca="false">C57*$C$58+C60*$C$50</f>
        <v>0</v>
      </c>
      <c r="D72" s="22" t="n">
        <f aca="false">D57*$C$58+D60*$C$50</f>
        <v>120000</v>
      </c>
      <c r="E72" s="22" t="n">
        <f aca="false">E57*$C$58+E60*$C$50</f>
        <v>810000</v>
      </c>
      <c r="F72" s="22" t="n">
        <f aca="false">F57*$C$58+F60*$C$50</f>
        <v>1785000</v>
      </c>
      <c r="G72" s="22" t="n">
        <f aca="false">G57*$C$58+G60*$C$50</f>
        <v>3190000</v>
      </c>
      <c r="H72" s="22" t="n">
        <f aca="false">H57*$C$58+H60*$C$50</f>
        <v>4380000</v>
      </c>
      <c r="I72" s="22" t="n">
        <f aca="false">I57*$C$58+I60*$C$50</f>
        <v>5570000</v>
      </c>
    </row>
    <row r="73" customFormat="false" ht="15" hidden="false" customHeight="true" outlineLevel="0" collapsed="false">
      <c r="B73" s="5" t="s">
        <v>578</v>
      </c>
      <c r="C73" s="28" t="n">
        <f aca="false">C72*$C$70</f>
        <v>0</v>
      </c>
      <c r="D73" s="28" t="n">
        <f aca="false">D72*$C$70</f>
        <v>21600</v>
      </c>
      <c r="E73" s="28" t="n">
        <f aca="false">E72*$C$70</f>
        <v>145800</v>
      </c>
      <c r="F73" s="28" t="n">
        <f aca="false">F72*$C$70</f>
        <v>321300</v>
      </c>
      <c r="G73" s="28" t="n">
        <f aca="false">G72*$C$70</f>
        <v>574200</v>
      </c>
      <c r="H73" s="28" t="n">
        <f aca="false">H72*$C$70</f>
        <v>788400</v>
      </c>
      <c r="I73" s="28" t="n">
        <f aca="false">I72*$C$70</f>
        <v>1002600</v>
      </c>
    </row>
    <row r="75" customFormat="false" ht="15" hidden="false" customHeight="true" outlineLevel="0" collapsed="false">
      <c r="B75" s="4" t="s">
        <v>579</v>
      </c>
      <c r="C75" s="4"/>
      <c r="D75" s="4"/>
      <c r="E75" s="4"/>
      <c r="F75" s="4"/>
      <c r="G75" s="4"/>
      <c r="H75" s="4"/>
      <c r="I75" s="4"/>
    </row>
    <row r="76" customFormat="false" ht="15" hidden="false" customHeight="true" outlineLevel="0" collapsed="false">
      <c r="B76" s="11"/>
      <c r="C76" s="21" t="s">
        <v>580</v>
      </c>
      <c r="D76" s="45" t="s">
        <v>581</v>
      </c>
      <c r="E76" s="45"/>
      <c r="F76" s="45"/>
      <c r="G76" s="45"/>
      <c r="H76" s="45"/>
      <c r="I76" s="45"/>
    </row>
    <row r="77" customFormat="false" ht="30" hidden="false" customHeight="true" outlineLevel="0" collapsed="false">
      <c r="B77" s="13" t="s">
        <v>582</v>
      </c>
      <c r="C77" s="56" t="n">
        <v>0.5</v>
      </c>
      <c r="D77" s="10" t="s">
        <v>583</v>
      </c>
      <c r="E77" s="10"/>
      <c r="F77" s="10"/>
      <c r="G77" s="10"/>
      <c r="H77" s="10"/>
      <c r="I77" s="10"/>
    </row>
    <row r="78" customFormat="false" ht="30" hidden="false" customHeight="true" outlineLevel="0" collapsed="false">
      <c r="B78" s="13" t="s">
        <v>584</v>
      </c>
      <c r="C78" s="56" t="n">
        <v>0.3</v>
      </c>
      <c r="D78" s="10" t="s">
        <v>585</v>
      </c>
      <c r="E78" s="10"/>
      <c r="F78" s="10"/>
      <c r="G78" s="10"/>
      <c r="H78" s="10"/>
      <c r="I78" s="10"/>
    </row>
    <row r="79" customFormat="false" ht="30" hidden="false" customHeight="true" outlineLevel="0" collapsed="false">
      <c r="B79" s="13" t="s">
        <v>586</v>
      </c>
      <c r="C79" s="56" t="n">
        <v>0.2</v>
      </c>
      <c r="D79" s="10" t="s">
        <v>587</v>
      </c>
      <c r="E79" s="10"/>
      <c r="F79" s="10"/>
      <c r="G79" s="10"/>
      <c r="H79" s="10"/>
      <c r="I79" s="10"/>
    </row>
    <row r="80" customFormat="false" ht="15" hidden="false" customHeight="true" outlineLevel="0" collapsed="false">
      <c r="B80" s="32" t="s">
        <v>588</v>
      </c>
      <c r="C80" s="49" t="n">
        <f aca="false">SUM(C77:C79)</f>
        <v>1</v>
      </c>
    </row>
    <row r="82" customFormat="false" ht="15" hidden="false" customHeight="true" outlineLevel="0" collapsed="false">
      <c r="B82" s="4" t="s">
        <v>589</v>
      </c>
      <c r="C82" s="4"/>
      <c r="D82" s="4"/>
      <c r="E82" s="4"/>
      <c r="F82" s="4"/>
      <c r="G82" s="4"/>
      <c r="H82" s="4"/>
      <c r="I82" s="4"/>
    </row>
    <row r="83" customFormat="false" ht="55.5" hidden="false" customHeight="true" outlineLevel="0" collapsed="false">
      <c r="B83" s="10" t="s">
        <v>590</v>
      </c>
      <c r="C83" s="10"/>
      <c r="D83" s="10"/>
      <c r="E83" s="10"/>
      <c r="F83" s="10"/>
      <c r="G83" s="10"/>
      <c r="H83" s="10"/>
      <c r="I83" s="10"/>
    </row>
    <row r="85" customFormat="false" ht="48" hidden="false" customHeight="true" outlineLevel="0" collapsed="false">
      <c r="B85" s="10" t="s">
        <v>591</v>
      </c>
      <c r="C85" s="10"/>
      <c r="D85" s="10"/>
      <c r="E85" s="10"/>
      <c r="F85" s="10"/>
      <c r="G85" s="10"/>
      <c r="H85" s="10"/>
      <c r="I85" s="10"/>
    </row>
    <row r="87" customFormat="false" ht="15" hidden="false" customHeight="false" outlineLevel="0" collapsed="false">
      <c r="B87" s="106" t="s">
        <v>592</v>
      </c>
    </row>
    <row r="88" customFormat="false" ht="95.5" hidden="false" customHeight="false" outlineLevel="0" collapsed="false">
      <c r="B88" s="107" t="s">
        <v>593</v>
      </c>
    </row>
    <row r="89" customFormat="false" ht="15" hidden="false" customHeight="false" outlineLevel="0" collapsed="false">
      <c r="C89" s="12" t="s">
        <v>7</v>
      </c>
      <c r="D89" s="12" t="s">
        <v>4</v>
      </c>
      <c r="E89" s="12" t="s">
        <v>10</v>
      </c>
    </row>
    <row r="90" customFormat="false" ht="15" hidden="false" customHeight="false" outlineLevel="0" collapsed="false">
      <c r="B90" s="13" t="s">
        <v>594</v>
      </c>
      <c r="C90" s="93" t="n">
        <f aca="false">'Revenue Build - Pressure Test'!I108</f>
        <v>212.7819</v>
      </c>
      <c r="D90" s="93" t="n">
        <f aca="false">'Revenue Build - Pressure Test'!I143</f>
        <v>904.7989</v>
      </c>
      <c r="E90" s="93" t="n">
        <f aca="false">'Revenue Build - Pressure Test'!I164</f>
        <v>1385.6039</v>
      </c>
    </row>
    <row r="91" customFormat="false" ht="15" hidden="false" customHeight="false" outlineLevel="0" collapsed="false">
      <c r="B91" s="13" t="s">
        <v>595</v>
      </c>
      <c r="C91" s="93" t="n">
        <f aca="false">ROUNDUP(C90/$I$56,0)</f>
        <v>11</v>
      </c>
      <c r="D91" s="93" t="n">
        <f aca="false">ROUNDUP(D90/$I$56,0)</f>
        <v>46</v>
      </c>
      <c r="E91" s="93" t="n">
        <f aca="false">ROUNDUP(E90/$I$56,0)</f>
        <v>70</v>
      </c>
    </row>
    <row r="92" customFormat="false" ht="15" hidden="false" customHeight="false" outlineLevel="0" collapsed="false">
      <c r="B92" s="13" t="s">
        <v>596</v>
      </c>
      <c r="C92" s="93" t="n">
        <f aca="false">MAX(1,ROUNDUP(C90/$I$49,0))</f>
        <v>3</v>
      </c>
      <c r="D92" s="93" t="n">
        <f aca="false">MAX(1,ROUNDUP(D90/$I$49,0))</f>
        <v>10</v>
      </c>
      <c r="E92" s="93" t="n">
        <f aca="false">MAX(1,ROUNDUP(E90/$I$49,0))</f>
        <v>14</v>
      </c>
    </row>
    <row r="93" customFormat="false" ht="15" hidden="false" customHeight="false" outlineLevel="0" collapsed="false">
      <c r="B93" s="13" t="s">
        <v>597</v>
      </c>
      <c r="C93" s="28" t="n">
        <f aca="false">C91*$C$58+C92*$C$50</f>
        <v>1405000</v>
      </c>
      <c r="D93" s="28" t="n">
        <f aca="false">D91*$C$58+D92*$C$50</f>
        <v>5570000</v>
      </c>
      <c r="E93" s="28" t="n">
        <f aca="false">E91*$C$58+E92*$C$50</f>
        <v>8330000</v>
      </c>
    </row>
    <row r="94" customFormat="false" ht="15" hidden="false" customHeight="false" outlineLevel="0" collapsed="false">
      <c r="B94" s="13" t="s">
        <v>598</v>
      </c>
      <c r="C94" s="28" t="n">
        <f aca="false">C93*$C$70</f>
        <v>252900</v>
      </c>
      <c r="D94" s="28" t="n">
        <f aca="false">D93*$C$70</f>
        <v>1002600</v>
      </c>
      <c r="E94" s="28" t="n">
        <f aca="false">E93*$C$70</f>
        <v>1499400</v>
      </c>
    </row>
    <row r="95" customFormat="false" ht="15" hidden="false" customHeight="false" outlineLevel="0" collapsed="false">
      <c r="B95" s="13" t="s">
        <v>599</v>
      </c>
      <c r="C95" s="28" t="n">
        <f aca="false">$C$7</f>
        <v>12000</v>
      </c>
      <c r="D95" s="28" t="n">
        <f aca="false">$C$7</f>
        <v>12000</v>
      </c>
      <c r="E95" s="28" t="n">
        <f aca="false">$C$7</f>
        <v>12000</v>
      </c>
    </row>
    <row r="96" customFormat="false" ht="15" hidden="false" customHeight="false" outlineLevel="0" collapsed="false">
      <c r="B96" s="75" t="s">
        <v>600</v>
      </c>
      <c r="C96" s="75" t="n">
        <f aca="false">C93+C94+C95</f>
        <v>1669900</v>
      </c>
      <c r="D96" s="75" t="n">
        <f aca="false">D93+D94+D95</f>
        <v>6584600</v>
      </c>
      <c r="E96" s="75" t="n">
        <f aca="false">E93+E94+E95</f>
        <v>9841400</v>
      </c>
    </row>
    <row r="97" customFormat="false" ht="15" hidden="false" customHeight="false" outlineLevel="0" collapsed="false">
      <c r="B97" s="13" t="s">
        <v>570</v>
      </c>
      <c r="C97" s="49" t="n">
        <f aca="false">(Scenarios!I6-C96)/Scenarios!I6</f>
        <v>0.858684114610153</v>
      </c>
      <c r="D97" s="49" t="n">
        <f aca="false">(Scenarios!I7-D96)/Scenarios!I7</f>
        <v>0.891310607776668</v>
      </c>
      <c r="E97" s="49" t="n">
        <f aca="false">(Scenarios!I8-E96)/Scenarios!I8</f>
        <v>0.892258977083865</v>
      </c>
    </row>
    <row r="98" customFormat="false" ht="15" hidden="false" customHeight="false" outlineLevel="0" collapsed="false">
      <c r="B98" s="13" t="s">
        <v>601</v>
      </c>
      <c r="C98" s="75" t="n">
        <f aca="false">IF(Control!$C$8=2,ROUND(D96+'P&amp;L'!I6,2),"set the Control toggle to Base to run this check")</f>
        <v>0</v>
      </c>
    </row>
  </sheetData>
  <mergeCells count="20">
    <mergeCell ref="B1:D1"/>
    <mergeCell ref="B2:D2"/>
    <mergeCell ref="B6:D6"/>
    <mergeCell ref="B11:D11"/>
    <mergeCell ref="B13:D13"/>
    <mergeCell ref="B27:D27"/>
    <mergeCell ref="B52:I52"/>
    <mergeCell ref="B53:I53"/>
    <mergeCell ref="B64:I64"/>
    <mergeCell ref="B65:I65"/>
    <mergeCell ref="B67:I67"/>
    <mergeCell ref="B68:I68"/>
    <mergeCell ref="B75:I75"/>
    <mergeCell ref="D76:I76"/>
    <mergeCell ref="D77:I77"/>
    <mergeCell ref="D78:I78"/>
    <mergeCell ref="D79:I79"/>
    <mergeCell ref="B82:I82"/>
    <mergeCell ref="B83:I83"/>
    <mergeCell ref="B85:I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9" min="3" style="1" width="13"/>
  </cols>
  <sheetData>
    <row r="1" customFormat="false" ht="19.5" hidden="false" customHeight="true" outlineLevel="0" collapsed="false">
      <c r="B1" s="2" t="s">
        <v>602</v>
      </c>
      <c r="C1" s="2"/>
      <c r="D1" s="2"/>
      <c r="E1" s="2"/>
      <c r="F1" s="2"/>
      <c r="G1" s="2"/>
      <c r="H1" s="2"/>
      <c r="I1" s="2"/>
    </row>
    <row r="2" customFormat="false" ht="15" hidden="false" customHeight="true" outlineLevel="0" collapsed="false">
      <c r="B2" s="3" t="s">
        <v>603</v>
      </c>
      <c r="C2" s="3"/>
      <c r="D2" s="3"/>
      <c r="E2" s="3"/>
      <c r="F2" s="3"/>
      <c r="G2" s="3"/>
      <c r="H2" s="3"/>
      <c r="I2" s="3"/>
    </row>
    <row r="4" customFormat="false" ht="15" hidden="false" customHeight="true" outlineLevel="0" collapsed="false">
      <c r="B4" s="4" t="s">
        <v>604</v>
      </c>
      <c r="C4" s="4"/>
      <c r="D4" s="4"/>
    </row>
    <row r="5" customFormat="false" ht="15" hidden="false" customHeight="true" outlineLevel="0" collapsed="false">
      <c r="B5" s="13" t="s">
        <v>605</v>
      </c>
      <c r="C5" s="108" t="n">
        <v>25</v>
      </c>
    </row>
    <row r="6" customFormat="false" ht="15" hidden="false" customHeight="true" outlineLevel="0" collapsed="false">
      <c r="B6" s="13" t="s">
        <v>606</v>
      </c>
      <c r="C6" s="108" t="n">
        <v>20</v>
      </c>
    </row>
    <row r="7" customFormat="false" ht="15" hidden="false" customHeight="true" outlineLevel="0" collapsed="false">
      <c r="B7" s="13" t="s">
        <v>607</v>
      </c>
      <c r="C7" s="108" t="n">
        <v>30</v>
      </c>
    </row>
    <row r="8" customFormat="false" ht="15" hidden="false" customHeight="true" outlineLevel="0" collapsed="false">
      <c r="B8" s="13" t="s">
        <v>608</v>
      </c>
      <c r="C8" s="56" t="n">
        <v>0.015</v>
      </c>
    </row>
    <row r="9" customFormat="false" ht="15" hidden="false" customHeight="true" outlineLevel="0" collapsed="false">
      <c r="B9" s="13" t="s">
        <v>609</v>
      </c>
      <c r="C9" s="109" t="n">
        <v>3</v>
      </c>
    </row>
    <row r="10" customFormat="false" ht="15" hidden="false" customHeight="true" outlineLevel="0" collapsed="false">
      <c r="B10" s="13" t="s">
        <v>610</v>
      </c>
      <c r="C10" s="56" t="n">
        <v>0.04</v>
      </c>
    </row>
    <row r="11" customFormat="false" ht="15" hidden="false" customHeight="true" outlineLevel="0" collapsed="false">
      <c r="B11" s="13" t="s">
        <v>611</v>
      </c>
      <c r="C11" s="56" t="n">
        <v>0.26</v>
      </c>
    </row>
    <row r="13" customFormat="false" ht="15" hidden="false" customHeight="true" outlineLevel="0" collapsed="false">
      <c r="B13" s="4" t="s">
        <v>612</v>
      </c>
      <c r="C13" s="4"/>
      <c r="D13" s="4"/>
      <c r="E13" s="4"/>
      <c r="F13" s="4"/>
      <c r="G13" s="4"/>
      <c r="H13" s="4"/>
      <c r="I13" s="4"/>
    </row>
    <row r="14" customFormat="false" ht="15" hidden="false" customHeight="true" outlineLevel="0" collapsed="false">
      <c r="B14" s="11"/>
      <c r="C14" s="12" t="s">
        <v>13</v>
      </c>
      <c r="D14" s="12" t="s">
        <v>14</v>
      </c>
      <c r="E14" s="12" t="s">
        <v>15</v>
      </c>
      <c r="F14" s="12" t="s">
        <v>16</v>
      </c>
      <c r="G14" s="12" t="s">
        <v>17</v>
      </c>
      <c r="H14" s="12" t="s">
        <v>18</v>
      </c>
      <c r="I14" s="12" t="s">
        <v>19</v>
      </c>
    </row>
    <row r="15" customFormat="false" ht="15" hidden="false" customHeight="true" outlineLevel="0" collapsed="false">
      <c r="B15" s="13" t="s">
        <v>20</v>
      </c>
      <c r="C15" s="14" t="n">
        <f aca="false">INDEX(Scenarios!$C$6:$I$8,Control!$C$8,1)</f>
        <v>348750</v>
      </c>
      <c r="D15" s="14" t="n">
        <f aca="false">INDEX(Scenarios!$C$6:$I$8,Control!$C$8,2)</f>
        <v>1342125</v>
      </c>
      <c r="E15" s="14" t="n">
        <f aca="false">INDEX(Scenarios!$C$6:$I$8,Control!$C$8,3)</f>
        <v>3177500</v>
      </c>
      <c r="F15" s="14" t="n">
        <f aca="false">INDEX(Scenarios!$C$6:$I$8,Control!$C$8,4)</f>
        <v>10188875</v>
      </c>
      <c r="G15" s="14" t="n">
        <f aca="false">INDEX(Scenarios!$C$6:$I$8,Control!$C$8,5)</f>
        <v>23192222.5</v>
      </c>
      <c r="H15" s="14" t="n">
        <f aca="false">INDEX(Scenarios!$C$6:$I$8,Control!$C$8,6)</f>
        <v>40601094.25</v>
      </c>
      <c r="I15" s="14" t="n">
        <f aca="false">INDEX(Scenarios!$C$6:$I$8,Control!$C$8,7)</f>
        <v>60581809</v>
      </c>
    </row>
    <row r="16" customFormat="false" ht="15" hidden="false" customHeight="true" outlineLevel="0" collapsed="false">
      <c r="B16" s="13" t="s">
        <v>613</v>
      </c>
      <c r="C16" s="22" t="n">
        <f aca="false">'COGS &amp; Overhead Build'!C61</f>
        <v>12000</v>
      </c>
      <c r="D16" s="22" t="n">
        <f aca="false">'COGS &amp; Overhead Build'!D61</f>
        <v>153600</v>
      </c>
      <c r="E16" s="22" t="n">
        <f aca="false">'COGS &amp; Overhead Build'!E61</f>
        <v>967800</v>
      </c>
      <c r="F16" s="22" t="n">
        <f aca="false">'COGS &amp; Overhead Build'!F61</f>
        <v>2118300</v>
      </c>
      <c r="G16" s="22" t="n">
        <f aca="false">'COGS &amp; Overhead Build'!G61</f>
        <v>3776200</v>
      </c>
      <c r="H16" s="22" t="n">
        <f aca="false">'COGS &amp; Overhead Build'!H61</f>
        <v>5180400</v>
      </c>
      <c r="I16" s="22" t="n">
        <f aca="false">'COGS &amp; Overhead Build'!I61</f>
        <v>6584600</v>
      </c>
    </row>
    <row r="17" customFormat="false" ht="15" hidden="false" customHeight="true" outlineLevel="0" collapsed="false">
      <c r="B17" s="13" t="s">
        <v>614</v>
      </c>
      <c r="C17" s="14" t="n">
        <f aca="false">CHOOSE(Control!$C$8,'S&amp;M Build'!C16,'S&amp;M Build'!C23,'S&amp;M Build'!C30)+CHOOSE(Control!$C$8,'Product &amp; Data Eng Build'!C15,'Product &amp; Data Eng Build'!C21,'Product &amp; Data Eng Build'!C27)+CHOOSE(Control!$C$8,'G&amp;A &amp; Exec Comp Build'!C24,'G&amp;A &amp; Exec Comp Build'!C25,'G&amp;A &amp; Exec Comp Build'!C26)</f>
        <v>464400</v>
      </c>
      <c r="D17" s="14" t="n">
        <f aca="false">CHOOSE(Control!$C$8,'S&amp;M Build'!D16,'S&amp;M Build'!D23,'S&amp;M Build'!D30)+CHOOSE(Control!$C$8,'Product &amp; Data Eng Build'!D15,'Product &amp; Data Eng Build'!D21,'Product &amp; Data Eng Build'!D27)+CHOOSE(Control!$C$8,'G&amp;A &amp; Exec Comp Build'!D24,'G&amp;A &amp; Exec Comp Build'!D25,'G&amp;A &amp; Exec Comp Build'!D26)</f>
        <v>1125700</v>
      </c>
      <c r="E17" s="14" t="n">
        <f aca="false">CHOOSE(Control!$C$8,'S&amp;M Build'!E16,'S&amp;M Build'!E23,'S&amp;M Build'!E30)+CHOOSE(Control!$C$8,'Product &amp; Data Eng Build'!E15,'Product &amp; Data Eng Build'!E21,'Product &amp; Data Eng Build'!E27)+CHOOSE(Control!$C$8,'G&amp;A &amp; Exec Comp Build'!E24,'G&amp;A &amp; Exec Comp Build'!E25,'G&amp;A &amp; Exec Comp Build'!E26)</f>
        <v>1355000</v>
      </c>
      <c r="F17" s="14" t="n">
        <f aca="false">CHOOSE(Control!$C$8,'S&amp;M Build'!F16,'S&amp;M Build'!F23,'S&amp;M Build'!F30)+CHOOSE(Control!$C$8,'Product &amp; Data Eng Build'!F15,'Product &amp; Data Eng Build'!F21,'Product &amp; Data Eng Build'!F27)+CHOOSE(Control!$C$8,'G&amp;A &amp; Exec Comp Build'!F24,'G&amp;A &amp; Exec Comp Build'!F25,'G&amp;A &amp; Exec Comp Build'!F26)</f>
        <v>6625000</v>
      </c>
      <c r="G17" s="14" t="n">
        <f aca="false">CHOOSE(Control!$C$8,'S&amp;M Build'!G16,'S&amp;M Build'!G23,'S&amp;M Build'!G30)+CHOOSE(Control!$C$8,'Product &amp; Data Eng Build'!G15,'Product &amp; Data Eng Build'!G21,'Product &amp; Data Eng Build'!G27)+CHOOSE(Control!$C$8,'G&amp;A &amp; Exec Comp Build'!G24,'G&amp;A &amp; Exec Comp Build'!G25,'G&amp;A &amp; Exec Comp Build'!G26)</f>
        <v>11775000</v>
      </c>
      <c r="H17" s="14" t="n">
        <f aca="false">CHOOSE(Control!$C$8,'S&amp;M Build'!H16,'S&amp;M Build'!H23,'S&amp;M Build'!H30)+CHOOSE(Control!$C$8,'Product &amp; Data Eng Build'!H15,'Product &amp; Data Eng Build'!H21,'Product &amp; Data Eng Build'!H27)+CHOOSE(Control!$C$8,'G&amp;A &amp; Exec Comp Build'!H24,'G&amp;A &amp; Exec Comp Build'!H25,'G&amp;A &amp; Exec Comp Build'!H26)</f>
        <v>16055000</v>
      </c>
      <c r="I17" s="14" t="n">
        <f aca="false">CHOOSE(Control!$C$8,'S&amp;M Build'!I16,'S&amp;M Build'!I23,'S&amp;M Build'!I30)+CHOOSE(Control!$C$8,'Product &amp; Data Eng Build'!I15,'Product &amp; Data Eng Build'!I21,'Product &amp; Data Eng Build'!I27)+CHOOSE(Control!$C$8,'G&amp;A &amp; Exec Comp Build'!I24,'G&amp;A &amp; Exec Comp Build'!I25,'G&amp;A &amp; Exec Comp Build'!I26)</f>
        <v>19970000</v>
      </c>
    </row>
    <row r="18" customFormat="false" ht="15" hidden="false" customHeight="true" outlineLevel="0" collapsed="false">
      <c r="B18" s="13" t="s">
        <v>615</v>
      </c>
      <c r="C18" s="26" t="n">
        <f aca="false">C16+C17</f>
        <v>476400</v>
      </c>
      <c r="D18" s="26" t="n">
        <f aca="false">D16+D17</f>
        <v>1279300</v>
      </c>
      <c r="E18" s="26" t="n">
        <f aca="false">E16+E17</f>
        <v>2322800</v>
      </c>
      <c r="F18" s="26" t="n">
        <f aca="false">F16+F17</f>
        <v>8743300</v>
      </c>
      <c r="G18" s="26" t="n">
        <f aca="false">G16+G17</f>
        <v>15551200</v>
      </c>
      <c r="H18" s="26" t="n">
        <f aca="false">H16+H17</f>
        <v>21235400</v>
      </c>
      <c r="I18" s="26" t="n">
        <f aca="false">I16+I17</f>
        <v>26554600</v>
      </c>
    </row>
    <row r="20" customFormat="false" ht="15" hidden="false" customHeight="true" outlineLevel="0" collapsed="false">
      <c r="B20" s="4" t="s">
        <v>616</v>
      </c>
      <c r="C20" s="4"/>
      <c r="D20" s="4"/>
      <c r="E20" s="4"/>
      <c r="F20" s="4"/>
      <c r="G20" s="4"/>
      <c r="H20" s="4"/>
      <c r="I20" s="4"/>
    </row>
    <row r="21" customFormat="false" ht="15" hidden="false" customHeight="true" outlineLevel="0" collapsed="false">
      <c r="B21" s="13" t="s">
        <v>293</v>
      </c>
      <c r="C21" s="22" t="n">
        <f aca="false">C15/365*$C$5</f>
        <v>23886.9863013699</v>
      </c>
      <c r="D21" s="22" t="n">
        <f aca="false">D15/365*$C$5</f>
        <v>91926.3698630137</v>
      </c>
      <c r="E21" s="22" t="n">
        <f aca="false">E15/365*$C$5</f>
        <v>217636.98630137</v>
      </c>
      <c r="F21" s="22" t="n">
        <f aca="false">F15/365*$C$5</f>
        <v>697868.150684932</v>
      </c>
      <c r="G21" s="22" t="n">
        <f aca="false">G15/365*$C$5</f>
        <v>1588508.39041096</v>
      </c>
      <c r="H21" s="22" t="n">
        <f aca="false">H15/365*$C$5</f>
        <v>2780896.86643836</v>
      </c>
      <c r="I21" s="22" t="n">
        <f aca="false">I15/365*$C$5</f>
        <v>4149438.97260274</v>
      </c>
    </row>
    <row r="22" customFormat="false" ht="15" hidden="false" customHeight="true" outlineLevel="0" collapsed="false">
      <c r="B22" s="13" t="s">
        <v>298</v>
      </c>
      <c r="C22" s="22" t="n">
        <f aca="false">C15/365*$C$6</f>
        <v>19109.5890410959</v>
      </c>
      <c r="D22" s="22" t="n">
        <f aca="false">D15/365*$C$6</f>
        <v>73541.095890411</v>
      </c>
      <c r="E22" s="22" t="n">
        <f aca="false">E15/365*$C$6</f>
        <v>174109.589041096</v>
      </c>
      <c r="F22" s="22" t="n">
        <f aca="false">F15/365*$C$6</f>
        <v>558294.520547945</v>
      </c>
      <c r="G22" s="22" t="n">
        <f aca="false">G15/365*$C$6</f>
        <v>1270806.71232877</v>
      </c>
      <c r="H22" s="22" t="n">
        <f aca="false">H15/365*$C$6</f>
        <v>2224717.49315069</v>
      </c>
      <c r="I22" s="22" t="n">
        <f aca="false">I15/365*$C$6</f>
        <v>3319551.17808219</v>
      </c>
    </row>
    <row r="23" customFormat="false" ht="15" hidden="false" customHeight="true" outlineLevel="0" collapsed="false">
      <c r="B23" s="13" t="s">
        <v>297</v>
      </c>
      <c r="C23" s="22" t="n">
        <f aca="false">C18/365*$C$7</f>
        <v>39156.1643835616</v>
      </c>
      <c r="D23" s="22" t="n">
        <f aca="false">D18/365*$C$7</f>
        <v>105147.945205479</v>
      </c>
      <c r="E23" s="22" t="n">
        <f aca="false">E18/365*$C$7</f>
        <v>190915.068493151</v>
      </c>
      <c r="F23" s="22" t="n">
        <f aca="false">F18/365*$C$7</f>
        <v>718627.397260274</v>
      </c>
      <c r="G23" s="22" t="n">
        <f aca="false">G18/365*$C$7</f>
        <v>1278180.82191781</v>
      </c>
      <c r="H23" s="22" t="n">
        <f aca="false">H18/365*$C$7</f>
        <v>1745375.34246575</v>
      </c>
      <c r="I23" s="22" t="n">
        <f aca="false">I18/365*$C$7</f>
        <v>2182569.8630137</v>
      </c>
    </row>
    <row r="25" customFormat="false" ht="15" hidden="false" customHeight="true" outlineLevel="0" collapsed="false">
      <c r="B25" s="4" t="s">
        <v>617</v>
      </c>
      <c r="C25" s="4"/>
      <c r="D25" s="4"/>
      <c r="E25" s="4"/>
      <c r="F25" s="4"/>
      <c r="G25" s="4"/>
      <c r="H25" s="4"/>
      <c r="I25" s="4"/>
    </row>
    <row r="26" customFormat="false" ht="15" hidden="false" customHeight="true" outlineLevel="0" collapsed="false">
      <c r="B26" s="13" t="s">
        <v>618</v>
      </c>
      <c r="C26" s="22" t="n">
        <f aca="false">'COGS &amp; Overhead Build'!C29</f>
        <v>10000</v>
      </c>
      <c r="D26" s="22" t="n">
        <f aca="false">'COGS &amp; Overhead Build'!D29</f>
        <v>3000</v>
      </c>
      <c r="E26" s="22" t="n">
        <f aca="false">E15*$C$8</f>
        <v>47662.5</v>
      </c>
      <c r="F26" s="22" t="n">
        <f aca="false">F15*$C$8</f>
        <v>152833.125</v>
      </c>
      <c r="G26" s="22" t="n">
        <f aca="false">G15*$C$8</f>
        <v>347883.3375</v>
      </c>
      <c r="H26" s="22" t="n">
        <f aca="false">H15*$C$8</f>
        <v>609016.41375</v>
      </c>
      <c r="I26" s="22" t="n">
        <f aca="false">I15*$C$8</f>
        <v>908727.135</v>
      </c>
    </row>
    <row r="27" customFormat="false" ht="15" hidden="false" customHeight="true" outlineLevel="0" collapsed="false">
      <c r="B27" s="13" t="s">
        <v>619</v>
      </c>
      <c r="C27" s="22" t="n">
        <f aca="false">C26/$C$9</f>
        <v>3333.33333333333</v>
      </c>
      <c r="D27" s="22" t="n">
        <f aca="false">(C26+D26)/$C$9</f>
        <v>4333.33333333333</v>
      </c>
      <c r="E27" s="22" t="n">
        <f aca="false">(C26+D26+E26)/$C$9</f>
        <v>20220.8333333333</v>
      </c>
      <c r="F27" s="22" t="n">
        <f aca="false">(D26+E26+F26)/$C$9</f>
        <v>67831.875</v>
      </c>
      <c r="G27" s="22" t="n">
        <f aca="false">(E26+F26+G26)/$C$9</f>
        <v>182792.9875</v>
      </c>
      <c r="H27" s="22" t="n">
        <f aca="false">(F26+G26+H26)/$C$9</f>
        <v>369910.95875</v>
      </c>
      <c r="I27" s="22" t="n">
        <f aca="false">(G26+H26+I26)/$C$9</f>
        <v>621875.62875</v>
      </c>
    </row>
    <row r="28" customFormat="false" ht="15" hidden="false" customHeight="true" outlineLevel="0" collapsed="false">
      <c r="B28" s="13" t="s">
        <v>620</v>
      </c>
      <c r="C28" s="22" t="n">
        <f aca="false">C26-C27</f>
        <v>6666.66666666667</v>
      </c>
      <c r="D28" s="22" t="n">
        <f aca="false">C28+D26-D27</f>
        <v>5333.33333333333</v>
      </c>
      <c r="E28" s="22" t="n">
        <f aca="false">D28+E26-E27</f>
        <v>32775</v>
      </c>
      <c r="F28" s="22" t="n">
        <f aca="false">E28+F26-F27</f>
        <v>117776.25</v>
      </c>
      <c r="G28" s="22" t="n">
        <f aca="false">F28+G26-G27</f>
        <v>282866.6</v>
      </c>
      <c r="H28" s="22" t="n">
        <f aca="false">G28+H26-H27</f>
        <v>521972.055</v>
      </c>
      <c r="I28" s="22" t="n">
        <f aca="false">H28+I26-I27</f>
        <v>808823.56125</v>
      </c>
    </row>
  </sheetData>
  <mergeCells count="6">
    <mergeCell ref="B1:I1"/>
    <mergeCell ref="B2:I2"/>
    <mergeCell ref="B4:D4"/>
    <mergeCell ref="B13:I13"/>
    <mergeCell ref="B20:I20"/>
    <mergeCell ref="B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2026-08-10T13:50:23Z</dcterms:created>
  <dc:creator>openpyxl</dc:creator>
  <dc:description/>
  <dc:language>en-US</dc:language>
  <cp:lastModifiedBy/>
  <dcterms:modified xsi:type="dcterms:W3CDTF">2026-08-14T13:31:10Z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